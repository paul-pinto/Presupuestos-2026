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fb3320680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1d5e7ad5d5f4ceb"/>
    <x:sheet xmlns:r="http://schemas.openxmlformats.org/officeDocument/2006/relationships" name="Auditoria 339" sheetId="2" r:id="R1e88c140d9ed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0"/>
    <x:numFmt numFmtId="203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a31b6aea84b69" /><Relationship Type="http://schemas.openxmlformats.org/officeDocument/2006/relationships/theme" Target="/xl/theme/theme1.xml" Id="R9b0c13c6be1b47cd" /><Relationship Type="http://schemas.openxmlformats.org/officeDocument/2006/relationships/sharedStrings" Target="/xl/sharedStrings.xml" Id="R9b2d6584f1e54adc" /><Relationship Type="http://schemas.openxmlformats.org/officeDocument/2006/relationships/worksheet" Target="/xl/worksheets/sheet1.xml" Id="R91d5e7ad5d5f4ceb" /><Relationship Type="http://schemas.openxmlformats.org/officeDocument/2006/relationships/worksheet" Target="/xl/worksheets/sheet2.xml" Id="R1e88c140d9ed4f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5" t="str">
        <x:v>Auditoría población municipal 2021 — Bolivia</x:v>
      </x:c>
      <x:c r="B1" s="15"/>
      <x:c r="C1" s="15"/>
      <x:c r="D1" s="15"/>
      <x:c r="E1" s="15"/>
      <x:c r="F1" s="15"/>
      <x:c r="G1" s="16"/>
      <x:c r="H1" s="16"/>
      <x:c r="I1" s="16"/>
      <x:c r="J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</x:row>
    <x:row r="3">
      <x:c r="A3" s="17" t="str">
        <x:v>Referencia</x:v>
      </x:c>
      <x:c r="B3" s="16" t="str">
        <x:v>2021 retrospectivo intercensal</x:v>
      </x:c>
      <x:c r="C3" s="16"/>
      <x:c r="D3" s="16"/>
      <x:c r="E3" s="16"/>
      <x:c r="F3" s="16"/>
      <x:c r="G3" s="16"/>
      <x:c r="H3" s="16"/>
      <x:c r="I3" s="16"/>
      <x:c r="J3" s="16"/>
    </x:row>
    <x:row r="4">
      <x:c r="A4" s="17" t="str">
        <x:v>Fórmula</x:v>
      </x:c>
      <x:c r="B4" s="16" t="str">
        <x:v>P2012 × (P2024 / P2012)^(9/12)</x:v>
      </x:c>
      <x:c r="C4" s="16"/>
      <x:c r="D4" s="16"/>
      <x:c r="E4" s="16"/>
      <x:c r="F4" s="16"/>
      <x:c r="G4" s="16"/>
      <x:c r="H4" s="16"/>
      <x:c r="I4" s="16"/>
      <x:c r="J4" s="16"/>
    </x:row>
    <x:row r="5">
      <x:c r="A5" s="17" t="str">
        <x:v>Geografía</x:v>
      </x:c>
      <x:c r="B5" s="16" t="str">
        <x:v>339 unidades comparables</x:v>
      </x:c>
      <x:c r="C5" s="16"/>
      <x:c r="D5" s="16"/>
      <x:c r="E5" s="16"/>
      <x:c r="F5" s="16"/>
      <x:c r="G5" s="16"/>
      <x:c r="H5" s="16"/>
      <x:c r="I5" s="16"/>
      <x:c r="J5" s="16"/>
    </x:row>
    <x:row r="6">
      <x:c r="A6" s="17" t="str">
        <x:v>Total retrospectivo</x:v>
      </x:c>
      <x:c r="B6" s="18" t="n">
        <x:f>SUM('Auditoria 339'!$D$2:$D$340)</x:f>
        <x:v>11000597.815925905</x:v>
      </x:c>
      <x:c r="C6" s="16"/>
      <x:c r="D6" s="16"/>
      <x:c r="E6" s="16"/>
      <x:c r="F6" s="16"/>
      <x:c r="G6" s="16"/>
      <x:c r="H6" s="16"/>
      <x:c r="I6" s="16"/>
      <x:c r="J6" s="16"/>
    </x:row>
    <x:row r="7">
      <x:c r="A7" s="17" t="str">
        <x:v>Nota</x:v>
      </x:c>
      <x:c r="B7" s="16" t="str">
        <x:v>No es población observada en 2021; es una interpolación retrospectiva anclada en Censos 2012 y 2024.</x:v>
      </x:c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1" t="str">
        <x:v>Fuente</x:v>
      </x:c>
      <x:c r="B9" s="11" t="str">
        <x:v>Total</x:v>
      </x:c>
      <x:c r="C9" s="11" t="str">
        <x:v>Dif. total</x:v>
      </x:c>
      <x:c r="D9" s="11" t="str">
        <x:v>MAE</x:v>
      </x:c>
      <x:c r="E9" s="11" t="str">
        <x:v>RMSE</x:v>
      </x:c>
      <x:c r="F9" s="11" t="str">
        <x:v>MAPE</x:v>
      </x:c>
      <x:c r="G9" s="11" t="str">
        <x:v>Mediana APE</x:v>
      </x:c>
      <x:c r="H9" s="11" t="str">
        <x:v>WAPE</x:v>
      </x:c>
      <x:c r="I9" s="11" t="str">
        <x:v>Pearson</x:v>
      </x:c>
      <x:c r="J9" s="11" t="str">
        <x:v>≤20%</x:v>
      </x:c>
    </x:row>
    <x:row r="10">
      <x:c r="A10" s="16" t="str">
        <x:v>INE proyección 2021</x:v>
      </x:c>
      <x:c r="B10" s="18" t="n">
        <x:f>SUM('Auditoria 339'!$F$2:$F$340)</x:f>
        <x:v>11841955</x:v>
      </x:c>
      <x:c r="C10" s="19" t="n">
        <x:f>B10/$B$6-1</x:f>
        <x:v>0.0764828601274774</x:v>
      </x:c>
      <x:c r="D10" s="18" t="n">
        <x:f>AVERAGE('Auditoria 339'!$I$2:$I$340)</x:f>
        <x:v>6198.432344158466</x:v>
      </x:c>
      <x:c r="E10" s="18" t="n">
        <x:f>SQRT(SUMSQ('Auditoria 339'!$G$2:$G$340)/339)</x:f>
        <x:v>25812.678666051834</x:v>
      </x:c>
      <x:c r="F10" s="19" t="n">
        <x:f>AVERAGE('Auditoria 339'!$J$2:$J$340)</x:f>
        <x:v>0.1901018285477643</x:v>
      </x:c>
      <x:c r="G10" s="19" t="n">
        <x:f>MEDIAN('Auditoria 339'!$J$2:$J$340)</x:f>
        <x:v>0.15070263758769795</x:v>
      </x:c>
      <x:c r="H10" s="19" t="n">
        <x:f>SUM('Auditoria 339'!$I$2:$I$340)/$B$6</x:f>
        <x:v>0.19101403394892308</x:v>
      </x:c>
      <x:c r="I10" s="20" t="n">
        <x:f>CORREL('Auditoria 339'!$D$2:$D$340,'Auditoria 339'!$F$2:$F$340)</x:f>
        <x:v>0.9983245145300228</x:v>
      </x:c>
      <x:c r="J10" s="21" t="n">
        <x:f>COUNTIF('Auditoria 339'!$J$2:$J$340,"&lt;=0.2")</x:f>
        <x:v>213</x:v>
      </x:c>
    </x:row>
    <x:row r="11">
      <x:c r="A11" s="16" t="str">
        <x:v>RHZ asignada con WorldPop</x:v>
      </x:c>
      <x:c r="B11" s="18" t="n">
        <x:f>SUM('Auditoria 339'!$K$2:$K$340)</x:f>
        <x:v>11798960</x:v>
      </x:c>
      <x:c r="C11" s="19" t="n">
        <x:f>B11/$B$6-1</x:f>
        <x:v>0.07257443617457593</x:v>
      </x:c>
      <x:c r="D11" s="18" t="n">
        <x:f>AVERAGE('Auditoria 339'!$N$2:$N$340)</x:f>
        <x:v>7261.835330845533</x:v>
      </x:c>
      <x:c r="E11" s="18" t="n">
        <x:f>SQRT(SUMSQ('Auditoria 339'!$L$2:$L$340)/339)</x:f>
        <x:v>25549.051257310573</x:v>
      </x:c>
      <x:c r="F11" s="19" t="n">
        <x:f>AVERAGE('Auditoria 339'!$O$2:$O$340)</x:f>
        <x:v>0.3207294823449505</x:v>
      </x:c>
      <x:c r="G11" s="19" t="n">
        <x:f>MEDIAN('Auditoria 339'!$O$2:$O$340)</x:f>
        <x:v>0.23316208341880124</x:v>
      </x:c>
      <x:c r="H11" s="19" t="n">
        <x:f>SUM('Auditoria 339'!$N$2:$N$340)/$B$6</x:f>
        <x:v>0.22378439957078208</x:v>
      </x:c>
      <x:c r="I11" s="20" t="n">
        <x:f>CORREL('Auditoria 339'!$D$2:$D$340,'Auditoria 339'!$K$2:$K$340)</x:f>
        <x:v>0.9926763547897622</x:v>
      </x:c>
      <x:c r="J11" s="21" t="n">
        <x:f>COUNTIF('Auditoria 339'!$O$2:$O$340,"&lt;=0.2")</x:f>
        <x:v>146</x:v>
      </x:c>
    </x:row>
    <x:row r="12">
      <x:c r="A12" s="16" t="str">
        <x:v>WorldPop raster</x:v>
      </x:c>
      <x:c r="B12" s="18" t="n">
        <x:f>SUM('Auditoria 339'!$P$2:$P$340)</x:f>
        <x:v>11854061.129387356</x:v>
      </x:c>
      <x:c r="C12" s="19" t="n">
        <x:f>B12/$B$6-1</x:f>
        <x:v>0.07758335753588463</x:v>
      </x:c>
      <x:c r="D12" s="18" t="n">
        <x:f>AVERAGE('Auditoria 339'!$S$2:$S$340)</x:f>
        <x:v>7684.483160321471</x:v>
      </x:c>
      <x:c r="E12" s="18" t="n">
        <x:f>SQRT(SUMSQ('Auditoria 339'!$Q$2:$Q$340)/339)</x:f>
        <x:v>33905.16712852264</x:v>
      </x:c>
      <x:c r="F12" s="19" t="n">
        <x:f>AVERAGE('Auditoria 339'!$T$2:$T$340)</x:f>
        <x:v>0.2703201675893905</x:v>
      </x:c>
      <x:c r="G12" s="19" t="n">
        <x:f>MEDIAN('Auditoria 339'!$T$2:$T$340)</x:f>
        <x:v>0.19711472261697863</x:v>
      </x:c>
      <x:c r="H12" s="19" t="n">
        <x:f>SUM('Auditoria 339'!$S$2:$S$340)/$B$6</x:f>
        <x:v>0.23680892938178158</x:v>
      </x:c>
      <x:c r="I12" s="20" t="n">
        <x:f>CORREL('Auditoria 339'!$D$2:$D$340,'Auditoria 339'!$P$2:$P$340)</x:f>
        <x:v>0.984738416738435</x:v>
      </x:c>
      <x:c r="J12" s="21" t="n">
        <x:f>COUNTIF('Auditoria 339'!$T$2:$T$340,"&lt;=0.2")</x:f>
        <x:v>170</x:v>
      </x:c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3" t="str">
        <x:v>Departamento</x:v>
      </x:c>
      <x:c r="B1" s="3" t="str">
        <x:v>Municipio (geografía 339)</x:v>
      </x:c>
      <x:c r="C1" s="3" t="str">
        <x:v>Censo 2012</x:v>
      </x:c>
      <x:c r="D1" s="3" t="str">
        <x:v>2021 retrospectivo</x:v>
      </x:c>
      <x:c r="E1" s="3" t="str">
        <x:v>Censo 2024</x:v>
      </x:c>
      <x:c r="F1" s="3" t="str">
        <x:v>INE proyección 2021</x:v>
      </x:c>
      <x:c r="G1" s="3" t="str">
        <x:v>Error INE</x:v>
      </x:c>
      <x:c r="H1" s="3" t="str">
        <x:v>Error INE %</x:v>
      </x:c>
      <x:c r="I1" s="3" t="str">
        <x:v>Abs. error INE</x:v>
      </x:c>
      <x:c r="J1" s="3" t="str">
        <x:v>Abs. error INE %</x:v>
      </x:c>
      <x:c r="K1" s="3" t="str">
        <x:v>RHZ asignada con WorldPop</x:v>
      </x:c>
      <x:c r="L1" s="3" t="str">
        <x:v>Error RHZ</x:v>
      </x:c>
      <x:c r="M1" s="3" t="str">
        <x:v>Error RHZ %</x:v>
      </x:c>
      <x:c r="N1" s="3" t="str">
        <x:v>Abs. error RHZ</x:v>
      </x:c>
      <x:c r="O1" s="3" t="str">
        <x:v>Abs. error RHZ %</x:v>
      </x:c>
      <x:c r="P1" s="3" t="str">
        <x:v>WorldPop raster</x:v>
      </x:c>
      <x:c r="Q1" s="3" t="str">
        <x:v>Error WorldPop</x:v>
      </x:c>
      <x:c r="R1" s="3" t="str">
        <x:v>Error WorldPop %</x:v>
      </x:c>
      <x:c r="S1" s="3" t="str">
        <x:v>Abs. error WorldPop</x:v>
      </x:c>
      <x:c r="T1" s="3" t="str">
        <x:v>Abs. error WorldPop %</x:v>
      </x:c>
    </x:row>
    <x:row r="2">
      <x:c r="A2" s="4"/>
      <x:c r="B2" s="4" t="str">
        <x:v>Baures</x:v>
      </x:c>
      <x:c r="C2" s="5" t="n">
        <x:v>5965</x:v>
      </x:c>
      <x:c r="D2" s="5" t="n">
        <x:v>7074.194378403985</x:v>
      </x:c>
      <x:c r="E2" s="5" t="n">
        <x:v>7488</x:v>
      </x:c>
      <x:c r="F2" s="5" t="n">
        <x:v>5343</x:v>
      </x:c>
      <x:c r="G2" s="5" t="n">
        <x:f>F2-$D2</x:f>
        <x:v>-1731.194378403985</x:v>
      </x:c>
      <x:c r="H2" s="6" t="n">
        <x:f>G2/$D2</x:f>
        <x:v>-0.24471965086073325</x:v>
      </x:c>
      <x:c r="I2" s="5" t="n">
        <x:f>ABS(G2)</x:f>
        <x:v>1731.194378403985</x:v>
      </x:c>
      <x:c r="J2" s="6" t="n">
        <x:f>ABS(H2)</x:f>
        <x:v>0.24471965086073325</x:v>
      </x:c>
      <x:c r="K2" s="5" t="n">
        <x:v>7160.219937121786</x:v>
      </x:c>
      <x:c r="L2" s="5" t="n">
        <x:f>K2-$D2</x:f>
        <x:v>86.02555871780078</x:v>
      </x:c>
      <x:c r="M2" s="6" t="n">
        <x:f>L2/$D2</x:f>
        <x:v>0.012160474269751276</x:v>
      </x:c>
      <x:c r="N2" s="5" t="n">
        <x:f>ABS(L2)</x:f>
        <x:v>86.02555871780078</x:v>
      </x:c>
      <x:c r="O2" s="6" t="n">
        <x:f>ABS(M2)</x:f>
        <x:v>0.012160474269751276</x:v>
      </x:c>
      <x:c r="P2" s="5" t="n">
        <x:v>11721.050138429106</x:v>
      </x:c>
      <x:c r="Q2" s="5" t="n">
        <x:f>P2-$D2</x:f>
        <x:v>4646.855760025121</x:v>
      </x:c>
      <x:c r="R2" s="6" t="n">
        <x:f>Q2/$D2</x:f>
        <x:v>0.6568741981717361</x:v>
      </x:c>
      <x:c r="S2" s="5" t="n">
        <x:f>ABS(Q2)</x:f>
        <x:v>4646.855760025121</x:v>
      </x:c>
      <x:c r="T2" s="6" t="n">
        <x:f>ABS(R2)</x:f>
        <x:v>0.6568741981717361</x:v>
      </x:c>
    </x:row>
    <x:row r="3">
      <x:c r="A3" s="4"/>
      <x:c r="B3" s="4" t="str">
        <x:v>Exaltación</x:v>
      </x:c>
      <x:c r="C3" s="5" t="n">
        <x:v>6362</x:v>
      </x:c>
      <x:c r="D3" s="5" t="n">
        <x:v>7563.17451680546</x:v>
      </x:c>
      <x:c r="E3" s="5" t="n">
        <x:v>8012</x:v>
      </x:c>
      <x:c r="F3" s="5" t="n">
        <x:v>4152</x:v>
      </x:c>
      <x:c r="G3" s="5" t="n">
        <x:f>F3-$D3</x:f>
        <x:v>-3411.1745168054604</x:v>
      </x:c>
      <x:c r="H3" s="6" t="n">
        <x:f>G3/$D3</x:f>
        <x:v>-0.4510241710310653</x:v>
      </x:c>
      <x:c r="I3" s="5" t="n">
        <x:f>ABS(G3)</x:f>
        <x:v>3411.1745168054604</x:v>
      </x:c>
      <x:c r="J3" s="6" t="n">
        <x:f>ABS(H3)</x:f>
        <x:v>0.4510241710310653</x:v>
      </x:c>
      <x:c r="K3" s="5" t="n">
        <x:v>9497.099457047154</x:v>
      </x:c>
      <x:c r="L3" s="5" t="n">
        <x:f>K3-$D3</x:f>
        <x:v>1933.9249402416935</x:v>
      </x:c>
      <x:c r="M3" s="6" t="n">
        <x:f>L3/$D3</x:f>
        <x:v>0.25570280521023153</x:v>
      </x:c>
      <x:c r="N3" s="5" t="n">
        <x:f>ABS(L3)</x:f>
        <x:v>1933.9249402416935</x:v>
      </x:c>
      <x:c r="O3" s="6" t="n">
        <x:f>ABS(M3)</x:f>
        <x:v>0.25570280521023153</x:v>
      </x:c>
      <x:c r="P3" s="5" t="n">
        <x:v>12588.229654835028</x:v>
      </x:c>
      <x:c r="Q3" s="5" t="n">
        <x:f>P3-$D3</x:f>
        <x:v>5025.055138029567</x:v>
      </x:c>
      <x:c r="R3" s="6" t="n">
        <x:f>Q3/$D3</x:f>
        <x:v>0.6644108405622318</x:v>
      </x:c>
      <x:c r="S3" s="5" t="n">
        <x:f>ABS(Q3)</x:f>
        <x:v>5025.055138029567</x:v>
      </x:c>
      <x:c r="T3" s="6" t="n">
        <x:f>ABS(R3)</x:f>
        <x:v>0.6644108405622318</x:v>
      </x:c>
    </x:row>
    <x:row r="4">
      <x:c r="A4" s="4"/>
      <x:c r="B4" s="4" t="str">
        <x:v>Guayaramerín</x:v>
      </x:c>
      <x:c r="C4" s="5" t="n">
        <x:v>41814</x:v>
      </x:c>
      <x:c r="D4" s="5" t="n">
        <x:v>41976.64465070052</x:v>
      </x:c>
      <x:c r="E4" s="5" t="n">
        <x:v>42031</x:v>
      </x:c>
      <x:c r="F4" s="5" t="n">
        <x:v>50288</x:v>
      </x:c>
      <x:c r="G4" s="5" t="n">
        <x:f>F4-$D4</x:f>
        <x:v>8311.355349299483</x:v>
      </x:c>
      <x:c r="H4" s="6" t="n">
        <x:f>G4/$D4</x:f>
        <x:v>0.1979995165993045</x:v>
      </x:c>
      <x:c r="I4" s="5" t="n">
        <x:f>ABS(G4)</x:f>
        <x:v>8311.355349299483</x:v>
      </x:c>
      <x:c r="J4" s="6" t="n">
        <x:f>ABS(H4)</x:f>
        <x:v>0.1979995165993045</x:v>
      </x:c>
      <x:c r="K4" s="5" t="n">
        <x:v>78111.08023882212</x:v>
      </x:c>
      <x:c r="L4" s="5" t="n">
        <x:f>K4-$D4</x:f>
        <x:v>36134.4355881216</x:v>
      </x:c>
      <x:c r="M4" s="6" t="n">
        <x:f>L4/$D4</x:f>
        <x:v>0.86082239037461</x:v>
      </x:c>
      <x:c r="N4" s="5" t="n">
        <x:f>ABS(L4)</x:f>
        <x:v>36134.4355881216</x:v>
      </x:c>
      <x:c r="O4" s="6" t="n">
        <x:f>ABS(M4)</x:f>
        <x:v>0.86082239037461</x:v>
      </x:c>
      <x:c r="P4" s="5" t="n">
        <x:v>26212.85987451933</x:v>
      </x:c>
      <x:c r="Q4" s="5" t="n">
        <x:f>P4-$D4</x:f>
        <x:v>-15763.784776181186</x:v>
      </x:c>
      <x:c r="R4" s="6" t="n">
        <x:f>Q4/$D4</x:f>
        <x:v>-0.375537037496829</x:v>
      </x:c>
      <x:c r="S4" s="5" t="n">
        <x:f>ABS(Q4)</x:f>
        <x:v>15763.784776181186</x:v>
      </x:c>
      <x:c r="T4" s="6" t="n">
        <x:f>ABS(R4)</x:f>
        <x:v>0.375537037496829</x:v>
      </x:c>
    </x:row>
    <x:row r="5">
      <x:c r="A5" s="4"/>
      <x:c r="B5" s="4" t="str">
        <x:v>Huacaraje</x:v>
      </x:c>
      <x:c r="C5" s="5" t="n">
        <x:v>4111</x:v>
      </x:c>
      <x:c r="D5" s="5" t="n">
        <x:v>4494.409216606767</x:v>
      </x:c>
      <x:c r="E5" s="5" t="n">
        <x:v>4630</x:v>
      </x:c>
      <x:c r="F5" s="5" t="n">
        <x:v>3985</x:v>
      </x:c>
      <x:c r="G5" s="5" t="n">
        <x:f>F5-$D5</x:f>
        <x:v>-509.4092166067667</x:v>
      </x:c>
      <x:c r="H5" s="6" t="n">
        <x:f>G5/$D5</x:f>
        <x:v>-0.11334286489189907</x:v>
      </x:c>
      <x:c r="I5" s="5" t="n">
        <x:f>ABS(G5)</x:f>
        <x:v>509.4092166067667</x:v>
      </x:c>
      <x:c r="J5" s="6" t="n">
        <x:f>ABS(H5)</x:f>
        <x:v>0.11334286489189907</x:v>
      </x:c>
      <x:c r="K5" s="5" t="n">
        <x:v>5280.105368813017</x:v>
      </x:c>
      <x:c r="L5" s="5" t="n">
        <x:f>K5-$D5</x:f>
        <x:v>785.6961522062502</x:v>
      </x:c>
      <x:c r="M5" s="6" t="n">
        <x:f>L5/$D5</x:f>
        <x:v>0.1748163361055589</x:v>
      </x:c>
      <x:c r="N5" s="5" t="n">
        <x:f>ABS(L5)</x:f>
        <x:v>785.6961522062502</x:v>
      </x:c>
      <x:c r="O5" s="6" t="n">
        <x:f>ABS(M5)</x:f>
        <x:v>0.1748163361055589</x:v>
      </x:c>
      <x:c r="P5" s="5" t="n">
        <x:v>8117.050951051628</x:v>
      </x:c>
      <x:c r="Q5" s="5" t="n">
        <x:f>P5-$D5</x:f>
        <x:v>3622.641734444861</x:v>
      </x:c>
      <x:c r="R5" s="6" t="n">
        <x:f>Q5/$D5</x:f>
        <x:v>0.8060329088546856</x:v>
      </x:c>
      <x:c r="S5" s="5" t="n">
        <x:f>ABS(Q5)</x:f>
        <x:v>3622.641734444861</x:v>
      </x:c>
      <x:c r="T5" s="6" t="n">
        <x:f>ABS(R5)</x:f>
        <x:v>0.8060329088546856</x:v>
      </x:c>
    </x:row>
    <x:row r="6">
      <x:c r="A6" s="4"/>
      <x:c r="B6" s="4" t="str">
        <x:v>Loreto</x:v>
      </x:c>
      <x:c r="C6" s="5" t="n">
        <x:v>3828</x:v>
      </x:c>
      <x:c r="D6" s="5" t="n">
        <x:v>4154.20188421957</x:v>
      </x:c>
      <x:c r="E6" s="5" t="n">
        <x:v>4269</x:v>
      </x:c>
      <x:c r="F6" s="5" t="n">
        <x:v>2878</x:v>
      </x:c>
      <x:c r="G6" s="5" t="n">
        <x:f>F6-$D6</x:f>
        <x:v>-1276.2018842195703</x:v>
      </x:c>
      <x:c r="H6" s="6" t="n">
        <x:f>G6/$D6</x:f>
        <x:v>-0.30720747806394205</x:v>
      </x:c>
      <x:c r="I6" s="5" t="n">
        <x:f>ABS(G6)</x:f>
        <x:v>1276.2018842195703</x:v>
      </x:c>
      <x:c r="J6" s="6" t="n">
        <x:f>ABS(H6)</x:f>
        <x:v>0.30720747806394205</x:v>
      </x:c>
      <x:c r="K6" s="5" t="n">
        <x:v>15173.911534340685</x:v>
      </x:c>
      <x:c r="L6" s="5" t="n">
        <x:f>K6-$D6</x:f>
        <x:v>11019.709650121114</x:v>
      </x:c>
      <x:c r="M6" s="6" t="n">
        <x:f>L6/$D6</x:f>
        <x:v>2.6526658928111613</x:v>
      </x:c>
      <x:c r="N6" s="5" t="n">
        <x:f>ABS(L6)</x:f>
        <x:v>11019.709650121114</x:v>
      </x:c>
      <x:c r="O6" s="6" t="n">
        <x:f>ABS(M6)</x:f>
        <x:v>2.6526658928111613</x:v>
      </x:c>
      <x:c r="P6" s="5" t="n">
        <x:v>7251.498651201859</x:v>
      </x:c>
      <x:c r="Q6" s="5" t="n">
        <x:f>P6-$D6</x:f>
        <x:v>3097.2967669822883</x:v>
      </x:c>
      <x:c r="R6" s="6" t="n">
        <x:f>Q6/$D6</x:f>
        <x:v>0.7455816672627027</x:v>
      </x:c>
      <x:c r="S6" s="5" t="n">
        <x:f>ABS(Q6)</x:f>
        <x:v>3097.2967669822883</x:v>
      </x:c>
      <x:c r="T6" s="6" t="n">
        <x:f>ABS(R6)</x:f>
        <x:v>0.7455816672627027</x:v>
      </x:c>
    </x:row>
    <x:row r="7">
      <x:c r="A7" s="4"/>
      <x:c r="B7" s="4" t="str">
        <x:v>Magdalena</x:v>
      </x:c>
      <x:c r="C7" s="5" t="n">
        <x:v>11377</x:v>
      </x:c>
      <x:c r="D7" s="5" t="n">
        <x:v>12417.451968549594</x:v>
      </x:c>
      <x:c r="E7" s="5" t="n">
        <x:v>12785</x:v>
      </x:c>
      <x:c r="F7" s="5" t="n">
        <x:v>12033</x:v>
      </x:c>
      <x:c r="G7" s="5" t="n">
        <x:f>F7-$D7</x:f>
        <x:v>-384.4519685495943</x:v>
      </x:c>
      <x:c r="H7" s="6" t="n">
        <x:f>G7/$D7</x:f>
        <x:v>-0.03096061651966267</x:v>
      </x:c>
      <x:c r="I7" s="5" t="n">
        <x:f>ABS(G7)</x:f>
        <x:v>384.4519685495943</x:v>
      </x:c>
      <x:c r="J7" s="6" t="n">
        <x:f>ABS(H7)</x:f>
        <x:v>0.03096061651966267</x:v>
      </x:c>
      <x:c r="K7" s="5" t="n">
        <x:v>14196.932950399036</x:v>
      </x:c>
      <x:c r="L7" s="5" t="n">
        <x:f>K7-$D7</x:f>
        <x:v>1779.4809818494414</x:v>
      </x:c>
      <x:c r="M7" s="6" t="n">
        <x:f>L7/$D7</x:f>
        <x:v>0.14330484115069958</x:v>
      </x:c>
      <x:c r="N7" s="5" t="n">
        <x:f>ABS(L7)</x:f>
        <x:v>1779.4809818494414</x:v>
      </x:c>
      <x:c r="O7" s="6" t="n">
        <x:f>ABS(M7)</x:f>
        <x:v>0.14330484115069958</x:v>
      </x:c>
      <x:c r="P7" s="5" t="n">
        <x:v>22621.008523427205</x:v>
      </x:c>
      <x:c r="Q7" s="5" t="n">
        <x:f>P7-$D7</x:f>
        <x:v>10203.55655487761</x:v>
      </x:c>
      <x:c r="R7" s="6" t="n">
        <x:f>Q7/$D7</x:f>
        <x:v>0.8217109742579036</x:v>
      </x:c>
      <x:c r="S7" s="5" t="n">
        <x:f>ABS(Q7)</x:f>
        <x:v>10203.55655487761</x:v>
      </x:c>
      <x:c r="T7" s="6" t="n">
        <x:f>ABS(R7)</x:f>
        <x:v>0.8217109742579036</x:v>
      </x:c>
    </x:row>
    <x:row r="8">
      <x:c r="A8" s="4"/>
      <x:c r="B8" s="4" t="str">
        <x:v>Puerto Menor de Rurrenabaque</x:v>
      </x:c>
      <x:c r="C8" s="5" t="n">
        <x:v>19195</x:v>
      </x:c>
      <x:c r="D8" s="5" t="n">
        <x:v>20709.180500514405</x:v>
      </x:c>
      <x:c r="E8" s="5" t="n">
        <x:v>21240</x:v>
      </x:c>
      <x:c r="F8" s="5" t="n">
        <x:v>21242</x:v>
      </x:c>
      <x:c r="G8" s="5" t="n">
        <x:f>F8-$D8</x:f>
        <x:v>532.8194994855949</x:v>
      </x:c>
      <x:c r="H8" s="6" t="n">
        <x:f>G8/$D8</x:f>
        <x:v>0.025728661714661278</x:v>
      </x:c>
      <x:c r="I8" s="5" t="n">
        <x:f>ABS(G8)</x:f>
        <x:v>532.8194994855949</x:v>
      </x:c>
      <x:c r="J8" s="6" t="n">
        <x:f>ABS(H8)</x:f>
        <x:v>0.025728661714661278</x:v>
      </x:c>
      <x:c r="K8" s="5" t="n">
        <x:v>12600.494199202016</x:v>
      </x:c>
      <x:c r="L8" s="5" t="n">
        <x:f>K8-$D8</x:f>
        <x:v>-8108.686301312389</x:v>
      </x:c>
      <x:c r="M8" s="6" t="n">
        <x:f>L8/$D8</x:f>
        <x:v>-0.3915503223853292</x:v>
      </x:c>
      <x:c r="N8" s="5" t="n">
        <x:f>ABS(L8)</x:f>
        <x:v>8108.686301312389</x:v>
      </x:c>
      <x:c r="O8" s="6" t="n">
        <x:f>ABS(M8)</x:f>
        <x:v>0.3915503223853292</x:v>
      </x:c>
      <x:c r="P8" s="5" t="n">
        <x:v>21614.20569412892</x:v>
      </x:c>
      <x:c r="Q8" s="5" t="n">
        <x:f>P8-$D8</x:f>
        <x:v>905.0251936145141</x:v>
      </x:c>
      <x:c r="R8" s="6" t="n">
        <x:f>Q8/$D8</x:f>
        <x:v>0.04370164206121212</x:v>
      </x:c>
      <x:c r="S8" s="5" t="n">
        <x:f>ABS(Q8)</x:f>
        <x:v>905.0251936145141</x:v>
      </x:c>
      <x:c r="T8" s="6" t="n">
        <x:f>ABS(R8)</x:f>
        <x:v>0.04370164206121212</x:v>
      </x:c>
    </x:row>
    <x:row r="9">
      <x:c r="A9" s="4"/>
      <x:c r="B9" s="4" t="str">
        <x:v>Puerto Siles</x:v>
      </x:c>
      <x:c r="C9" s="5" t="n">
        <x:v>945</x:v>
      </x:c>
      <x:c r="D9" s="5" t="n">
        <x:v>1052.5106889197932</x:v>
      </x:c>
      <x:c r="E9" s="5" t="n">
        <x:v>1091</x:v>
      </x:c>
      <x:c r="F9" s="5" t="n">
        <x:v>1110</x:v>
      </x:c>
      <x:c r="G9" s="5" t="n">
        <x:f>F9-$D9</x:f>
        <x:v>57.48931108020679</x:v>
      </x:c>
      <x:c r="H9" s="6" t="n">
        <x:f>G9/$D9</x:f>
        <x:v>0.05462111851729401</x:v>
      </x:c>
      <x:c r="I9" s="5" t="n">
        <x:f>ABS(G9)</x:f>
        <x:v>57.48931108020679</x:v>
      </x:c>
      <x:c r="J9" s="6" t="n">
        <x:f>ABS(H9)</x:f>
        <x:v>0.05462111851729401</x:v>
      </x:c>
      <x:c r="K9" s="5" t="n">
        <x:v>1254.82072207229</x:v>
      </x:c>
      <x:c r="L9" s="5" t="n">
        <x:f>K9-$D9</x:f>
        <x:v>202.31003315249677</x:v>
      </x:c>
      <x:c r="M9" s="6" t="n">
        <x:f>L9/$D9</x:f>
        <x:v>0.1922166067122135</x:v>
      </x:c>
      <x:c r="N9" s="5" t="n">
        <x:f>ABS(L9)</x:f>
        <x:v>202.31003315249677</x:v>
      </x:c>
      <x:c r="O9" s="6" t="n">
        <x:f>ABS(M9)</x:f>
        <x:v>0.1922166067122135</x:v>
      </x:c>
      <x:c r="P9" s="5" t="n">
        <x:v>1998.2529541868132</x:v>
      </x:c>
      <x:c r="Q9" s="5" t="n">
        <x:f>P9-$D9</x:f>
        <x:v>945.74226526702</x:v>
      </x:c>
      <x:c r="R9" s="6" t="n">
        <x:f>Q9/$D9</x:f>
        <x:v>0.8985583474098955</x:v>
      </x:c>
      <x:c r="S9" s="5" t="n">
        <x:f>ABS(Q9)</x:f>
        <x:v>945.74226526702</x:v>
      </x:c>
      <x:c r="T9" s="6" t="n">
        <x:f>ABS(R9)</x:f>
        <x:v>0.8985583474098955</x:v>
      </x:c>
    </x:row>
    <x:row r="10">
      <x:c r="A10" s="4"/>
      <x:c r="B10" s="4" t="str">
        <x:v>Reyes</x:v>
      </x:c>
      <x:c r="C10" s="5" t="n">
        <x:v>13246</x:v>
      </x:c>
      <x:c r="D10" s="5" t="n">
        <x:v>11896.545035130383</x:v>
      </x:c>
      <x:c r="E10" s="5" t="n">
        <x:v>11478</x:v>
      </x:c>
      <x:c r="F10" s="5" t="n">
        <x:v>11750</x:v>
      </x:c>
      <x:c r="G10" s="5" t="n">
        <x:f>F10-$D10</x:f>
        <x:v>-146.54503513038253</x:v>
      </x:c>
      <x:c r="H10" s="6" t="n">
        <x:f>G10/$D10</x:f>
        <x:v>-0.01231828524144081</x:v>
      </x:c>
      <x:c r="I10" s="5" t="n">
        <x:f>ABS(G10)</x:f>
        <x:v>146.54503513038253</x:v>
      </x:c>
      <x:c r="J10" s="6" t="n">
        <x:f>ABS(H10)</x:f>
        <x:v>0.01231828524144081</x:v>
      </x:c>
      <x:c r="K10" s="5" t="n">
        <x:v>14891.757235530586</x:v>
      </x:c>
      <x:c r="L10" s="5" t="n">
        <x:f>K10-$D10</x:f>
        <x:v>2995.212200400203</x:v>
      </x:c>
      <x:c r="M10" s="6" t="n">
        <x:f>L10/$D10</x:f>
        <x:v>0.2517716018857047</x:v>
      </x:c>
      <x:c r="N10" s="5" t="n">
        <x:f>ABS(L10)</x:f>
        <x:v>2995.212200400203</x:v>
      </x:c>
      <x:c r="O10" s="6" t="n">
        <x:f>ABS(M10)</x:f>
        <x:v>0.2517716018857047</x:v>
      </x:c>
      <x:c r="P10" s="5" t="n">
        <x:v>8149.316605861328</x:v>
      </x:c>
      <x:c r="Q10" s="5" t="n">
        <x:f>P10-$D10</x:f>
        <x:v>-3747.2284292690547</x:v>
      </x:c>
      <x:c r="R10" s="6" t="n">
        <x:f>Q10/$D10</x:f>
        <x:v>-0.314984595796807</x:v>
      </x:c>
      <x:c r="S10" s="5" t="n">
        <x:f>ABS(Q10)</x:f>
        <x:v>3747.2284292690547</x:v>
      </x:c>
      <x:c r="T10" s="6" t="n">
        <x:f>ABS(R10)</x:f>
        <x:v>0.314984595796807</x:v>
      </x:c>
    </x:row>
    <x:row r="11">
      <x:c r="A11" s="4"/>
      <x:c r="B11" s="4" t="str">
        <x:v>Riberalta</x:v>
      </x:c>
      <x:c r="C11" s="5" t="n">
        <x:v>89022</x:v>
      </x:c>
      <x:c r="D11" s="5" t="n">
        <x:v>104547.07269540428</x:v>
      </x:c>
      <x:c r="E11" s="5" t="n">
        <x:v>110302</x:v>
      </x:c>
      <x:c r="F11" s="5" t="n">
        <x:v>113104</x:v>
      </x:c>
      <x:c r="G11" s="5" t="n">
        <x:f>F11-$D11</x:f>
        <x:v>8556.927304595723</x:v>
      </x:c>
      <x:c r="H11" s="6" t="n">
        <x:f>G11/$D11</x:f>
        <x:v>0.0818476030364442</x:v>
      </x:c>
      <x:c r="I11" s="5" t="n">
        <x:f>ABS(G11)</x:f>
        <x:v>8556.927304595723</x:v>
      </x:c>
      <x:c r="J11" s="6" t="n">
        <x:f>ABS(H11)</x:f>
        <x:v>0.0818476030364442</x:v>
      </x:c>
      <x:c r="K11" s="5" t="n">
        <x:v>105432.42897185904</x:v>
      </x:c>
      <x:c r="L11" s="5" t="n">
        <x:f>K11-$D11</x:f>
        <x:v>885.3562764547678</x:v>
      </x:c>
      <x:c r="M11" s="6" t="n">
        <x:f>L11/$D11</x:f>
        <x:v>0.008468494178064985</x:v>
      </x:c>
      <x:c r="N11" s="5" t="n">
        <x:f>ABS(L11)</x:f>
        <x:v>885.3562764547678</x:v>
      </x:c>
      <x:c r="O11" s="6" t="n">
        <x:f>ABS(M11)</x:f>
        <x:v>0.008468494178064985</x:v>
      </x:c>
      <x:c r="P11" s="5" t="n">
        <x:v>55526.76044897155</x:v>
      </x:c>
      <x:c r="Q11" s="5" t="n">
        <x:f>P11-$D11</x:f>
        <x:v>-49020.312246432724</x:v>
      </x:c>
      <x:c r="R11" s="6" t="n">
        <x:f>Q11/$D11</x:f>
        <x:v>-0.4688826858811474</x:v>
      </x:c>
      <x:c r="S11" s="5" t="n">
        <x:f>ABS(Q11)</x:f>
        <x:v>49020.312246432724</x:v>
      </x:c>
      <x:c r="T11" s="6" t="n">
        <x:f>ABS(R11)</x:f>
        <x:v>0.4688826858811474</x:v>
      </x:c>
    </x:row>
    <x:row r="12">
      <x:c r="A12" s="4"/>
      <x:c r="B12" s="4" t="str">
        <x:v>San Andrés</x:v>
      </x:c>
      <x:c r="C12" s="5" t="n">
        <x:v>12503</x:v>
      </x:c>
      <x:c r="D12" s="5" t="n">
        <x:v>14739.067820308914</x:v>
      </x:c>
      <x:c r="E12" s="5" t="n">
        <x:v>15570</x:v>
      </x:c>
      <x:c r="F12" s="5" t="n">
        <x:v>12426</x:v>
      </x:c>
      <x:c r="G12" s="5" t="n">
        <x:f>F12-$D12</x:f>
        <x:v>-2313.0678203089137</x:v>
      </x:c>
      <x:c r="H12" s="6" t="n">
        <x:f>G12/$D12</x:f>
        <x:v>-0.15693447160353963</x:v>
      </x:c>
      <x:c r="I12" s="5" t="n">
        <x:f>ABS(G12)</x:f>
        <x:v>2313.0678203089137</x:v>
      </x:c>
      <x:c r="J12" s="6" t="n">
        <x:f>ABS(H12)</x:f>
        <x:v>0.15693447160353963</x:v>
      </x:c>
      <x:c r="K12" s="5" t="n">
        <x:v>11684.671800024007</x:v>
      </x:c>
      <x:c r="L12" s="5" t="n">
        <x:f>K12-$D12</x:f>
        <x:v>-3054.3960202849066</x:v>
      </x:c>
      <x:c r="M12" s="6" t="n">
        <x:f>L12/$D12</x:f>
        <x:v>-0.2072312888116482</x:v>
      </x:c>
      <x:c r="N12" s="5" t="n">
        <x:f>ABS(L12)</x:f>
        <x:v>3054.3960202849066</x:v>
      </x:c>
      <x:c r="O12" s="6" t="n">
        <x:f>ABS(M12)</x:f>
        <x:v>0.2072312888116482</x:v>
      </x:c>
      <x:c r="P12" s="5" t="n">
        <x:v>28012.56258160778</x:v>
      </x:c>
      <x:c r="Q12" s="5" t="n">
        <x:f>P12-$D12</x:f>
        <x:v>13273.494761298867</x:v>
      </x:c>
      <x:c r="R12" s="6" t="n">
        <x:f>Q12/$D12</x:f>
        <x:v>0.9005654172382165</x:v>
      </x:c>
      <x:c r="S12" s="5" t="n">
        <x:f>ABS(Q12)</x:f>
        <x:v>13273.494761298867</x:v>
      </x:c>
      <x:c r="T12" s="6" t="n">
        <x:f>ABS(R12)</x:f>
        <x:v>0.9005654172382165</x:v>
      </x:c>
    </x:row>
    <x:row r="13">
      <x:c r="A13" s="4"/>
      <x:c r="B13" s="4" t="str">
        <x:v>San Borja</x:v>
      </x:c>
      <x:c r="C13" s="5" t="n">
        <x:v>40864</x:v>
      </x:c>
      <x:c r="D13" s="5" t="n">
        <x:v>44511.28206082718</x:v>
      </x:c>
      <x:c r="E13" s="5" t="n">
        <x:v>45798</x:v>
      </x:c>
      <x:c r="F13" s="5" t="n">
        <x:v>41400</x:v>
      </x:c>
      <x:c r="G13" s="5" t="n">
        <x:f>F13-$D13</x:f>
        <x:v>-3111.2820608271795</x:v>
      </x:c>
      <x:c r="H13" s="6" t="n">
        <x:f>G13/$D13</x:f>
        <x:v>-0.06989872941820541</x:v>
      </x:c>
      <x:c r="I13" s="5" t="n">
        <x:f>ABS(G13)</x:f>
        <x:v>3111.2820608271795</x:v>
      </x:c>
      <x:c r="J13" s="6" t="n">
        <x:f>ABS(H13)</x:f>
        <x:v>0.06989872941820541</x:v>
      </x:c>
      <x:c r="K13" s="5" t="n">
        <x:v>47632.54814702444</x:v>
      </x:c>
      <x:c r="L13" s="5" t="n">
        <x:f>K13-$D13</x:f>
        <x:v>3121.2660861972618</x:v>
      </x:c>
      <x:c r="M13" s="6" t="n">
        <x:f>L13/$D13</x:f>
        <x:v>0.07012303267139948</x:v>
      </x:c>
      <x:c r="N13" s="5" t="n">
        <x:f>ABS(L13)</x:f>
        <x:v>3121.2660861972618</x:v>
      </x:c>
      <x:c r="O13" s="6" t="n">
        <x:f>ABS(M13)</x:f>
        <x:v>0.07012303267139948</x:v>
      </x:c>
      <x:c r="P13" s="5" t="n">
        <x:v>77647.27126776057</x:v>
      </x:c>
      <x:c r="Q13" s="5" t="n">
        <x:f>P13-$D13</x:f>
        <x:v>33135.989206933395</x:v>
      </x:c>
      <x:c r="R13" s="6" t="n">
        <x:f>Q13/$D13</x:f>
        <x:v>0.7444402334143329</x:v>
      </x:c>
      <x:c r="S13" s="5" t="n">
        <x:f>ABS(Q13)</x:f>
        <x:v>33135.989206933395</x:v>
      </x:c>
      <x:c r="T13" s="6" t="n">
        <x:f>ABS(R13)</x:f>
        <x:v>0.7444402334143329</x:v>
      </x:c>
    </x:row>
    <x:row r="14">
      <x:c r="A14" s="4"/>
      <x:c r="B14" s="4" t="str">
        <x:v>San Ignacio</x:v>
      </x:c>
      <x:c r="C14" s="5" t="n">
        <x:v>22484</x:v>
      </x:c>
      <x:c r="D14" s="5" t="n">
        <x:v>24751.458710639887</x:v>
      </x:c>
      <x:c r="E14" s="5" t="n">
        <x:v>25557</x:v>
      </x:c>
      <x:c r="F14" s="5" t="n">
        <x:v>20715</x:v>
      </x:c>
      <x:c r="G14" s="5" t="n">
        <x:f>F14-$D14</x:f>
        <x:v>-4036.4587106398867</x:v>
      </x:c>
      <x:c r="H14" s="6" t="n">
        <x:f>G14/$D14</x:f>
        <x:v>-0.16307962927876804</x:v>
      </x:c>
      <x:c r="I14" s="5" t="n">
        <x:f>ABS(G14)</x:f>
        <x:v>4036.4587106398867</x:v>
      </x:c>
      <x:c r="J14" s="6" t="n">
        <x:f>ABS(H14)</x:f>
        <x:v>0.16307962927876804</x:v>
      </x:c>
      <x:c r="K14" s="5" t="n">
        <x:v>24767.24114682577</x:v>
      </x:c>
      <x:c r="L14" s="5" t="n">
        <x:f>K14-$D14</x:f>
        <x:v>15.782436185883853</x:v>
      </x:c>
      <x:c r="M14" s="6" t="n">
        <x:f>L14/$D14</x:f>
        <x:v>0.0006376366084274246</x:v>
      </x:c>
      <x:c r="N14" s="5" t="n">
        <x:f>ABS(L14)</x:f>
        <x:v>15.782436185883853</x:v>
      </x:c>
      <x:c r="O14" s="6" t="n">
        <x:f>ABS(M14)</x:f>
        <x:v>0.0006376366084274246</x:v>
      </x:c>
      <x:c r="P14" s="5" t="n">
        <x:v>25796.589686636515</x:v>
      </x:c>
      <x:c r="Q14" s="5" t="n">
        <x:f>P14-$D14</x:f>
        <x:v>1045.130975996628</x:v>
      </x:c>
      <x:c r="R14" s="6" t="n">
        <x:f>Q14/$D14</x:f>
        <x:v>0.04222502553141882</x:v>
      </x:c>
      <x:c r="S14" s="5" t="n">
        <x:f>ABS(Q14)</x:f>
        <x:v>1045.130975996628</x:v>
      </x:c>
      <x:c r="T14" s="6" t="n">
        <x:f>ABS(R14)</x:f>
        <x:v>0.04222502553141882</x:v>
      </x:c>
    </x:row>
    <x:row r="15">
      <x:c r="A15" s="4"/>
      <x:c r="B15" s="4" t="str">
        <x:v>San Javier</x:v>
      </x:c>
      <x:c r="C15" s="5" t="n">
        <x:v>5277</x:v>
      </x:c>
      <x:c r="D15" s="5" t="n">
        <x:v>7150.767338919859</x:v>
      </x:c>
      <x:c r="E15" s="5" t="n">
        <x:v>7913</x:v>
      </x:c>
      <x:c r="F15" s="5" t="n">
        <x:v>4022</x:v>
      </x:c>
      <x:c r="G15" s="5" t="n">
        <x:f>F15-$D15</x:f>
        <x:v>-3128.767338919859</x:v>
      </x:c>
      <x:c r="H15" s="6" t="n">
        <x:f>G15/$D15</x:f>
        <x:v>-0.43754288045294826</x:v>
      </x:c>
      <x:c r="I15" s="5" t="n">
        <x:f>ABS(G15)</x:f>
        <x:v>3128.767338919859</x:v>
      </x:c>
      <x:c r="J15" s="6" t="n">
        <x:f>ABS(H15)</x:f>
        <x:v>0.43754288045294826</x:v>
      </x:c>
      <x:c r="K15" s="5" t="n">
        <x:v>12329.518783322656</x:v>
      </x:c>
      <x:c r="L15" s="5" t="n">
        <x:f>K15-$D15</x:f>
        <x:v>5178.751444402797</x:v>
      </x:c>
      <x:c r="M15" s="6" t="n">
        <x:f>L15/$D15</x:f>
        <x:v>0.7242231775904849</x:v>
      </x:c>
      <x:c r="N15" s="5" t="n">
        <x:f>ABS(L15)</x:f>
        <x:v>5178.751444402797</x:v>
      </x:c>
      <x:c r="O15" s="6" t="n">
        <x:f>ABS(M15)</x:f>
        <x:v>0.7242231775904849</x:v>
      </x:c>
      <x:c r="P15" s="5" t="n">
        <x:v>10476.479489480043</x:v>
      </x:c>
      <x:c r="Q15" s="5" t="n">
        <x:f>P15-$D15</x:f>
        <x:v>3325.7121505601845</x:v>
      </x:c>
      <x:c r="R15" s="6" t="n">
        <x:f>Q15/$D15</x:f>
        <x:v>0.4650846535670592</x:v>
      </x:c>
      <x:c r="S15" s="5" t="n">
        <x:f>ABS(Q15)</x:f>
        <x:v>3325.7121505601845</x:v>
      </x:c>
      <x:c r="T15" s="6" t="n">
        <x:f>ABS(R15)</x:f>
        <x:v>0.4650846535670592</x:v>
      </x:c>
    </x:row>
    <x:row r="16">
      <x:c r="A16" s="4"/>
      <x:c r="B16" s="4" t="str">
        <x:v>San Joaquín</x:v>
      </x:c>
      <x:c r="C16" s="5" t="n">
        <x:v>6917</x:v>
      </x:c>
      <x:c r="D16" s="5" t="n">
        <x:v>6835.087903326743</x:v>
      </x:c>
      <x:c r="E16" s="5" t="n">
        <x:v>6808</x:v>
      </x:c>
      <x:c r="F16" s="5" t="n">
        <x:v>6051</x:v>
      </x:c>
      <x:c r="G16" s="5" t="n">
        <x:f>F16-$D16</x:f>
        <x:v>-784.0879033267429</x:v>
      </x:c>
      <x:c r="H16" s="6" t="n">
        <x:f>G16/$D16</x:f>
        <x:v>-0.11471511623795141</x:v>
      </x:c>
      <x:c r="I16" s="5" t="n">
        <x:f>ABS(G16)</x:f>
        <x:v>784.0879033267429</x:v>
      </x:c>
      <x:c r="J16" s="6" t="n">
        <x:f>ABS(H16)</x:f>
        <x:v>0.11471511623795141</x:v>
      </x:c>
      <x:c r="K16" s="5" t="n">
        <x:v>6330.806033971355</x:v>
      </x:c>
      <x:c r="L16" s="5" t="n">
        <x:f>K16-$D16</x:f>
        <x:v>-504.28186935538815</x:v>
      </x:c>
      <x:c r="M16" s="6" t="n">
        <x:f>L16/$D16</x:f>
        <x:v>-0.0737784029244081</x:v>
      </x:c>
      <x:c r="N16" s="5" t="n">
        <x:f>ABS(L16)</x:f>
        <x:v>504.28186935538815</x:v>
      </x:c>
      <x:c r="O16" s="6" t="n">
        <x:f>ABS(M16)</x:f>
        <x:v>0.0737784029244081</x:v>
      </x:c>
      <x:c r="P16" s="5" t="n">
        <x:v>13413.922696940384</x:v>
      </x:c>
      <x:c r="Q16" s="5" t="n">
        <x:f>P16-$D16</x:f>
        <x:v>6578.8347936136415</x:v>
      </x:c>
      <x:c r="R16" s="6" t="n">
        <x:f>Q16/$D16</x:f>
        <x:v>0.9625091713029208</x:v>
      </x:c>
      <x:c r="S16" s="5" t="n">
        <x:f>ABS(Q16)</x:f>
        <x:v>6578.8347936136415</x:v>
      </x:c>
      <x:c r="T16" s="6" t="n">
        <x:f>ABS(R16)</x:f>
        <x:v>0.9625091713029208</x:v>
      </x:c>
    </x:row>
    <x:row r="17">
      <x:c r="A17" s="4"/>
      <x:c r="B17" s="4" t="str">
        <x:v>San Ramón</x:v>
      </x:c>
      <x:c r="C17" s="5" t="n">
        <x:v>4955</x:v>
      </x:c>
      <x:c r="D17" s="5" t="n">
        <x:v>5350.333305823689</x:v>
      </x:c>
      <x:c r="E17" s="5" t="n">
        <x:v>5489</x:v>
      </x:c>
      <x:c r="F17" s="5" t="n">
        <x:v>5217</x:v>
      </x:c>
      <x:c r="G17" s="5" t="n">
        <x:f>F17-$D17</x:f>
        <x:v>-133.33330582368944</x:v>
      </x:c>
      <x:c r="H17" s="6" t="n">
        <x:f>G17/$D17</x:f>
        <x:v>-0.024920560683305438</x:v>
      </x:c>
      <x:c r="I17" s="5" t="n">
        <x:f>ABS(G17)</x:f>
        <x:v>133.33330582368944</x:v>
      </x:c>
      <x:c r="J17" s="6" t="n">
        <x:f>ABS(H17)</x:f>
        <x:v>0.024920560683305438</x:v>
      </x:c>
      <x:c r="K17" s="5" t="n">
        <x:v>8544.736496711384</x:v>
      </x:c>
      <x:c r="L17" s="5" t="n">
        <x:f>K17-$D17</x:f>
        <x:v>3194.403190887695</x:v>
      </x:c>
      <x:c r="M17" s="6" t="n">
        <x:f>L17/$D17</x:f>
        <x:v>0.5970475124251934</x:v>
      </x:c>
      <x:c r="N17" s="5" t="n">
        <x:f>ABS(L17)</x:f>
        <x:v>3194.403190887695</x:v>
      </x:c>
      <x:c r="O17" s="6" t="n">
        <x:f>ABS(M17)</x:f>
        <x:v>0.5970475124251934</x:v>
      </x:c>
      <x:c r="P17" s="5" t="n">
        <x:v>9486.228459040329</x:v>
      </x:c>
      <x:c r="Q17" s="5" t="n">
        <x:f>P17-$D17</x:f>
        <x:v>4135.895153216639</x:v>
      </x:c>
      <x:c r="R17" s="6" t="n">
        <x:f>Q17/$D17</x:f>
        <x:v>0.7730163555819657</x:v>
      </x:c>
      <x:c r="S17" s="5" t="n">
        <x:f>ABS(Q17)</x:f>
        <x:v>4135.895153216639</x:v>
      </x:c>
      <x:c r="T17" s="6" t="n">
        <x:f>ABS(R17)</x:f>
        <x:v>0.7730163555819657</x:v>
      </x:c>
    </x:row>
    <x:row r="18">
      <x:c r="A18" s="4"/>
      <x:c r="B18" s="4" t="str">
        <x:v>Santa Ana</x:v>
      </x:c>
      <x:c r="C18" s="5" t="n">
        <x:v>17069</x:v>
      </x:c>
      <x:c r="D18" s="5" t="n">
        <x:v>17827.68416806444</x:v>
      </x:c>
      <x:c r="E18" s="5" t="n">
        <x:v>18088</x:v>
      </x:c>
      <x:c r="F18" s="5" t="n">
        <x:v>18465</x:v>
      </x:c>
      <x:c r="G18" s="5" t="n">
        <x:f>F18-$D18</x:f>
        <x:v>637.3158319355607</x:v>
      </x:c>
      <x:c r="H18" s="6" t="n">
        <x:f>G18/$D18</x:f>
        <x:v>0.03574866067445901</x:v>
      </x:c>
      <x:c r="I18" s="5" t="n">
        <x:f>ABS(G18)</x:f>
        <x:v>637.3158319355607</x:v>
      </x:c>
      <x:c r="J18" s="6" t="n">
        <x:f>ABS(H18)</x:f>
        <x:v>0.03574866067445901</x:v>
      </x:c>
      <x:c r="K18" s="5" t="n">
        <x:v>15905.336769265885</x:v>
      </x:c>
      <x:c r="L18" s="5" t="n">
        <x:f>K18-$D18</x:f>
        <x:v>-1922.3473987985544</x:v>
      </x:c>
      <x:c r="M18" s="6" t="n">
        <x:f>L18/$D18</x:f>
        <x:v>-0.10782933894701505</x:v>
      </x:c>
      <x:c r="N18" s="5" t="n">
        <x:f>ABS(L18)</x:f>
        <x:v>1922.3473987985544</x:v>
      </x:c>
      <x:c r="O18" s="6" t="n">
        <x:f>ABS(M18)</x:f>
        <x:v>0.10782933894701505</x:v>
      </x:c>
      <x:c r="P18" s="5" t="n">
        <x:v>36651.42335040077</x:v>
      </x:c>
      <x:c r="Q18" s="5" t="n">
        <x:f>P18-$D18</x:f>
        <x:v>18823.739182336332</x:v>
      </x:c>
      <x:c r="R18" s="6" t="n">
        <x:f>Q18/$D18</x:f>
        <x:v>1.055871250852434</x:v>
      </x:c>
      <x:c r="S18" s="5" t="n">
        <x:f>ABS(Q18)</x:f>
        <x:v>18823.739182336332</x:v>
      </x:c>
      <x:c r="T18" s="6" t="n">
        <x:f>ABS(R18)</x:f>
        <x:v>1.055871250852434</x:v>
      </x:c>
    </x:row>
    <x:row r="19">
      <x:c r="A19" s="4"/>
      <x:c r="B19" s="4" t="str">
        <x:v>Santa Rosa</x:v>
      </x:c>
      <x:c r="C19" s="5" t="n">
        <x:v>9478</x:v>
      </x:c>
      <x:c r="D19" s="5" t="n">
        <x:v>10686.028894179464</x:v>
      </x:c>
      <x:c r="E19" s="5" t="n">
        <x:v>11122</x:v>
      </x:c>
      <x:c r="F19" s="5" t="n">
        <x:v>10204</x:v>
      </x:c>
      <x:c r="G19" s="5" t="n">
        <x:f>F19-$D19</x:f>
        <x:v>-482.02889417946426</x:v>
      </x:c>
      <x:c r="H19" s="6" t="n">
        <x:f>G19/$D19</x:f>
        <x:v>-0.045108327794436236</x:v>
      </x:c>
      <x:c r="I19" s="5" t="n">
        <x:f>ABS(G19)</x:f>
        <x:v>482.02889417946426</x:v>
      </x:c>
      <x:c r="J19" s="6" t="n">
        <x:f>ABS(H19)</x:f>
        <x:v>0.045108327794436236</x:v>
      </x:c>
      <x:c r="K19" s="5" t="n">
        <x:v>21555.641765847504</x:v>
      </x:c>
      <x:c r="L19" s="5" t="n">
        <x:f>K19-$D19</x:f>
        <x:v>10869.61287166804</x:v>
      </x:c>
      <x:c r="M19" s="6" t="n">
        <x:f>L19/$D19</x:f>
        <x:v>1.0171798129414165</x:v>
      </x:c>
      <x:c r="N19" s="5" t="n">
        <x:f>ABS(L19)</x:f>
        <x:v>10869.61287166804</x:v>
      </x:c>
      <x:c r="O19" s="6" t="n">
        <x:f>ABS(M19)</x:f>
        <x:v>1.0171798129414165</x:v>
      </x:c>
      <x:c r="P19" s="5" t="n">
        <x:v>6165.0274061363525</x:v>
      </x:c>
      <x:c r="Q19" s="5" t="n">
        <x:f>P19-$D19</x:f>
        <x:v>-4521.001488043112</x:v>
      </x:c>
      <x:c r="R19" s="6" t="n">
        <x:f>Q19/$D19</x:f>
        <x:v>-0.4230759183615571</x:v>
      </x:c>
      <x:c r="S19" s="5" t="n">
        <x:f>ABS(Q19)</x:f>
        <x:v>4521.001488043112</x:v>
      </x:c>
      <x:c r="T19" s="6" t="n">
        <x:f>ABS(R19)</x:f>
        <x:v>0.4230759183615571</x:v>
      </x:c>
    </x:row>
    <x:row r="20">
      <x:c r="A20" s="4"/>
      <x:c r="B20" s="4" t="str">
        <x:v>Trinidad</x:v>
      </x:c>
      <x:c r="C20" s="5" t="n">
        <x:v>106596</x:v>
      </x:c>
      <x:c r="D20" s="5" t="n">
        <x:v>122698.17164561484</x:v>
      </x:c>
      <x:c r="E20" s="5" t="n">
        <x:v>128589</x:v>
      </x:c>
      <x:c r="F20" s="5" t="n">
        <x:v>162710</x:v>
      </x:c>
      <x:c r="G20" s="5" t="n">
        <x:f>F20-$D20</x:f>
        <x:v>40011.82835438516</x:v>
      </x:c>
      <x:c r="H20" s="6" t="n">
        <x:f>G20/$D20</x:f>
        <x:v>0.3260996298294487</x:v>
      </x:c>
      <x:c r="I20" s="5" t="n">
        <x:f>ABS(G20)</x:f>
        <x:v>40011.82835438516</x:v>
      </x:c>
      <x:c r="J20" s="6" t="n">
        <x:f>ABS(H20)</x:f>
        <x:v>0.3260996298294487</x:v>
      </x:c>
      <x:c r="K20" s="5" t="n">
        <x:v>123602.2918137758</x:v>
      </x:c>
      <x:c r="L20" s="5" t="n">
        <x:f>K20-$D20</x:f>
        <x:v>904.1201681609527</x:v>
      </x:c>
      <x:c r="M20" s="6" t="n">
        <x:f>L20/$D20</x:f>
        <x:v>0.007368652328188669</x:v>
      </x:c>
      <x:c r="N20" s="5" t="n">
        <x:f>ABS(L20)</x:f>
        <x:v>904.1201681609527</x:v>
      </x:c>
      <x:c r="O20" s="6" t="n">
        <x:f>ABS(M20)</x:f>
        <x:v>0.007368652328188669</x:v>
      </x:c>
      <x:c r="P20" s="5" t="n">
        <x:v>206205.57730466037</x:v>
      </x:c>
      <x:c r="Q20" s="5" t="n">
        <x:f>P20-$D20</x:f>
        <x:v>83507.40565904553</x:v>
      </x:c>
      <x:c r="R20" s="6" t="n">
        <x:f>Q20/$D20</x:f>
        <x:v>0.6805920947236057</x:v>
      </x:c>
      <x:c r="S20" s="5" t="n">
        <x:f>ABS(Q20)</x:f>
        <x:v>83507.40565904553</x:v>
      </x:c>
      <x:c r="T20" s="6" t="n">
        <x:f>ABS(R20)</x:f>
        <x:v>0.6805920947236057</x:v>
      </x:c>
    </x:row>
    <x:row r="21">
      <x:c r="A21" s="4"/>
      <x:c r="B21" s="4" t="str">
        <x:v>Alcalá</x:v>
      </x:c>
      <x:c r="C21" s="5" t="n">
        <x:v>4902</x:v>
      </x:c>
      <x:c r="D21" s="5" t="n">
        <x:v>4024.171651463827</x:v>
      </x:c>
      <x:c r="E21" s="5" t="n">
        <x:v>3768</x:v>
      </x:c>
      <x:c r="F21" s="5" t="n">
        <x:v>2644</x:v>
      </x:c>
      <x:c r="G21" s="5" t="n">
        <x:f>F21-$D21</x:f>
        <x:v>-1380.171651463827</x:v>
      </x:c>
      <x:c r="H21" s="6" t="n">
        <x:f>G21/$D21</x:f>
        <x:v>-0.34297037278759657</x:v>
      </x:c>
      <x:c r="I21" s="5" t="n">
        <x:f>ABS(G21)</x:f>
        <x:v>1380.171651463827</x:v>
      </x:c>
      <x:c r="J21" s="6" t="n">
        <x:f>ABS(H21)</x:f>
        <x:v>0.34297037278759657</x:v>
      </x:c>
      <x:c r="K21" s="5" t="n">
        <x:v>4962.455897754011</x:v>
      </x:c>
      <x:c r="L21" s="5" t="n">
        <x:f>K21-$D21</x:f>
        <x:v>938.284246290184</x:v>
      </x:c>
      <x:c r="M21" s="6" t="n">
        <x:f>L21/$D21</x:f>
        <x:v>0.23316208341880124</x:v>
      </x:c>
      <x:c r="N21" s="5" t="n">
        <x:f>ABS(L21)</x:f>
        <x:v>938.284246290184</x:v>
      </x:c>
      <x:c r="O21" s="6" t="n">
        <x:f>ABS(M21)</x:f>
        <x:v>0.23316208341880124</x:v>
      </x:c>
      <x:c r="P21" s="5" t="n">
        <x:v>4070.169243832293</x:v>
      </x:c>
      <x:c r="Q21" s="5" t="n">
        <x:f>P21-$D21</x:f>
        <x:v>45.99759236846603</x:v>
      </x:c>
      <x:c r="R21" s="6" t="n">
        <x:f>Q21/$D21</x:f>
        <x:v>0.011430325630303073</x:v>
      </x:c>
      <x:c r="S21" s="5" t="n">
        <x:f>ABS(Q21)</x:f>
        <x:v>45.99759236846603</x:v>
      </x:c>
      <x:c r="T21" s="6" t="n">
        <x:f>ABS(R21)</x:f>
        <x:v>0.011430325630303073</x:v>
      </x:c>
    </x:row>
    <x:row r="22">
      <x:c r="A22" s="4"/>
      <x:c r="B22" s="4" t="str">
        <x:v>Azurduy</x:v>
      </x:c>
      <x:c r="C22" s="5" t="n">
        <x:v>10652</x:v>
      </x:c>
      <x:c r="D22" s="5" t="n">
        <x:v>8515.335740640332</x:v>
      </x:c>
      <x:c r="E22" s="5" t="n">
        <x:v>7903</x:v>
      </x:c>
      <x:c r="F22" s="5" t="n">
        <x:v>11093</x:v>
      </x:c>
      <x:c r="G22" s="5" t="n">
        <x:f>F22-$D22</x:f>
        <x:v>2577.664259359668</x:v>
      </x:c>
      <x:c r="H22" s="6" t="n">
        <x:f>G22/$D22</x:f>
        <x:v>0.3027084706780844</x:v>
      </x:c>
      <x:c r="I22" s="5" t="n">
        <x:f>ABS(G22)</x:f>
        <x:v>2577.664259359668</x:v>
      </x:c>
      <x:c r="J22" s="6" t="n">
        <x:f>ABS(H22)</x:f>
        <x:v>0.3027084706780844</x:v>
      </x:c>
      <x:c r="K22" s="5" t="n">
        <x:v>13508.203438124045</x:v>
      </x:c>
      <x:c r="L22" s="5" t="n">
        <x:f>K22-$D22</x:f>
        <x:v>4992.867697483713</x:v>
      </x:c>
      <x:c r="M22" s="6" t="n">
        <x:f>L22/$D22</x:f>
        <x:v>0.5863383252940607</x:v>
      </x:c>
      <x:c r="N22" s="5" t="n">
        <x:f>ABS(L22)</x:f>
        <x:v>4992.867697483713</x:v>
      </x:c>
      <x:c r="O22" s="6" t="n">
        <x:f>ABS(M22)</x:f>
        <x:v>0.5863383252940607</x:v>
      </x:c>
      <x:c r="P22" s="5" t="n">
        <x:v>9224.536926355446</x:v>
      </x:c>
      <x:c r="Q22" s="5" t="n">
        <x:f>P22-$D22</x:f>
        <x:v>709.2011857151138</x:v>
      </x:c>
      <x:c r="R22" s="6" t="n">
        <x:f>Q22/$D22</x:f>
        <x:v>0.08328517011142342</x:v>
      </x:c>
      <x:c r="S22" s="5" t="n">
        <x:f>ABS(Q22)</x:f>
        <x:v>709.2011857151138</x:v>
      </x:c>
      <x:c r="T22" s="6" t="n">
        <x:f>ABS(R22)</x:f>
        <x:v>0.08328517011142342</x:v>
      </x:c>
    </x:row>
    <x:row r="23">
      <x:c r="A23" s="4"/>
      <x:c r="B23" s="4" t="str">
        <x:v>Camargo</x:v>
      </x:c>
      <x:c r="C23" s="5" t="n">
        <x:v>15644</x:v>
      </x:c>
      <x:c r="D23" s="5" t="n">
        <x:v>14940.422465182224</x:v>
      </x:c>
      <x:c r="E23" s="5" t="n">
        <x:v>14713</x:v>
      </x:c>
      <x:c r="F23" s="5" t="n">
        <x:v>15445</x:v>
      </x:c>
      <x:c r="G23" s="5" t="n">
        <x:f>F23-$D23</x:f>
        <x:v>504.5775348177758</x:v>
      </x:c>
      <x:c r="H23" s="6" t="n">
        <x:f>G23/$D23</x:f>
        <x:v>0.03377264170365089</x:v>
      </x:c>
      <x:c r="I23" s="5" t="n">
        <x:f>ABS(G23)</x:f>
        <x:v>504.5775348177758</x:v>
      </x:c>
      <x:c r="J23" s="6" t="n">
        <x:f>ABS(H23)</x:f>
        <x:v>0.03377264170365089</x:v>
      </x:c>
      <x:c r="K23" s="5" t="n">
        <x:v>13718.1803722683</x:v>
      </x:c>
      <x:c r="L23" s="5" t="n">
        <x:f>K23-$D23</x:f>
        <x:v>-1222.2420929139244</x:v>
      </x:c>
      <x:c r="M23" s="6" t="n">
        <x:f>L23/$D23</x:f>
        <x:v>-0.08180773306526556</x:v>
      </x:c>
      <x:c r="N23" s="5" t="n">
        <x:f>ABS(L23)</x:f>
        <x:v>1222.2420929139244</x:v>
      </x:c>
      <x:c r="O23" s="6" t="n">
        <x:f>ABS(M23)</x:f>
        <x:v>0.08180773306526556</x:v>
      </x:c>
      <x:c r="P23" s="5" t="n">
        <x:v>13454.130060024649</x:v>
      </x:c>
      <x:c r="Q23" s="5" t="n">
        <x:f>P23-$D23</x:f>
        <x:v>-1486.2924051575756</x:v>
      </x:c>
      <x:c r="R23" s="6" t="n">
        <x:f>Q23/$D23</x:f>
        <x:v>-0.09948128365320945</x:v>
      </x:c>
      <x:c r="S23" s="5" t="n">
        <x:f>ABS(Q23)</x:f>
        <x:v>1486.2924051575756</x:v>
      </x:c>
      <x:c r="T23" s="6" t="n">
        <x:f>ABS(R23)</x:f>
        <x:v>0.09948128365320945</x:v>
      </x:c>
    </x:row>
    <x:row r="24">
      <x:c r="A24" s="4"/>
      <x:c r="B24" s="4" t="str">
        <x:v>Culpina</x:v>
      </x:c>
      <x:c r="C24" s="5" t="n">
        <x:v>17731</x:v>
      </x:c>
      <x:c r="D24" s="5" t="n">
        <x:v>15521.520992567412</x:v>
      </x:c>
      <x:c r="E24" s="5" t="n">
        <x:v>14848</x:v>
      </x:c>
      <x:c r="F24" s="5" t="n">
        <x:v>17288</x:v>
      </x:c>
      <x:c r="G24" s="5" t="n">
        <x:f>F24-$D24</x:f>
        <x:v>1766.4790074325883</x:v>
      </x:c>
      <x:c r="H24" s="6" t="n">
        <x:f>G24/$D24</x:f>
        <x:v>0.11380837021568177</x:v>
      </x:c>
      <x:c r="I24" s="5" t="n">
        <x:f>ABS(G24)</x:f>
        <x:v>1766.4790074325883</x:v>
      </x:c>
      <x:c r="J24" s="6" t="n">
        <x:f>ABS(H24)</x:f>
        <x:v>0.11380837021568177</x:v>
      </x:c>
      <x:c r="K24" s="5" t="n">
        <x:v>14560.966583193822</x:v>
      </x:c>
      <x:c r="L24" s="5" t="n">
        <x:f>K24-$D24</x:f>
        <x:v>-960.5544093735898</x:v>
      </x:c>
      <x:c r="M24" s="6" t="n">
        <x:f>L24/$D24</x:f>
        <x:v>-0.06188532746459306</x:v>
      </x:c>
      <x:c r="N24" s="5" t="n">
        <x:f>ABS(L24)</x:f>
        <x:v>960.5544093735898</x:v>
      </x:c>
      <x:c r="O24" s="6" t="n">
        <x:f>ABS(M24)</x:f>
        <x:v>0.06188532746459306</x:v>
      </x:c>
      <x:c r="P24" s="5" t="n">
        <x:v>15294.208902138984</x:v>
      </x:c>
      <x:c r="Q24" s="5" t="n">
        <x:f>P24-$D24</x:f>
        <x:v>-227.31209042842784</x:v>
      </x:c>
      <x:c r="R24" s="6" t="n">
        <x:f>Q24/$D24</x:f>
        <x:v>-0.014644962342110532</x:v>
      </x:c>
      <x:c r="S24" s="5" t="n">
        <x:f>ABS(Q24)</x:f>
        <x:v>227.31209042842784</x:v>
      </x:c>
      <x:c r="T24" s="6" t="n">
        <x:f>ABS(R24)</x:f>
        <x:v>0.014644962342110532</x:v>
      </x:c>
    </x:row>
    <x:row r="25">
      <x:c r="A25" s="4"/>
      <x:c r="B25" s="4" t="str">
        <x:v>El Villar</x:v>
      </x:c>
      <x:c r="C25" s="5" t="n">
        <x:v>4465</x:v>
      </x:c>
      <x:c r="D25" s="5" t="n">
        <x:v>5329.938757894509</x:v>
      </x:c>
      <x:c r="E25" s="5" t="n">
        <x:v>5654</x:v>
      </x:c>
      <x:c r="F25" s="5" t="n">
        <x:v>4026</x:v>
      </x:c>
      <x:c r="G25" s="5" t="n">
        <x:f>F25-$D25</x:f>
        <x:v>-1303.9387578945089</x:v>
      </x:c>
      <x:c r="H25" s="6" t="n">
        <x:f>G25/$D25</x:f>
        <x:v>-0.2446442289722678</x:v>
      </x:c>
      <x:c r="I25" s="5" t="n">
        <x:f>ABS(G25)</x:f>
        <x:v>1303.9387578945089</x:v>
      </x:c>
      <x:c r="J25" s="6" t="n">
        <x:f>ABS(H25)</x:f>
        <x:v>0.2446442289722678</x:v>
      </x:c>
      <x:c r="K25" s="5" t="n">
        <x:v>6587.83208538396</x:v>
      </x:c>
      <x:c r="L25" s="5" t="n">
        <x:f>K25-$D25</x:f>
        <x:v>1257.8933274894507</x:v>
      </x:c>
      <x:c r="M25" s="6" t="n">
        <x:f>L25/$D25</x:f>
        <x:v>0.23600521218490653</x:v>
      </x:c>
      <x:c r="N25" s="5" t="n">
        <x:f>ABS(L25)</x:f>
        <x:v>1257.8933274894507</x:v>
      </x:c>
      <x:c r="O25" s="6" t="n">
        <x:f>ABS(M25)</x:f>
        <x:v>0.23600521218490653</x:v>
      </x:c>
      <x:c r="P25" s="5" t="n">
        <x:v>3750.2736190631113</x:v>
      </x:c>
      <x:c r="Q25" s="5" t="n">
        <x:f>P25-$D25</x:f>
        <x:v>-1579.6651388313976</x:v>
      </x:c>
      <x:c r="R25" s="6" t="n">
        <x:f>Q25/$D25</x:f>
        <x:v>-0.29637585169091407</x:v>
      </x:c>
      <x:c r="S25" s="5" t="n">
        <x:f>ABS(Q25)</x:f>
        <x:v>1579.6651388313976</x:v>
      </x:c>
      <x:c r="T25" s="6" t="n">
        <x:f>ABS(R25)</x:f>
        <x:v>0.29637585169091407</x:v>
      </x:c>
    </x:row>
    <x:row r="26">
      <x:c r="A26" s="4"/>
      <x:c r="B26" s="4" t="str">
        <x:v>Huacareta</x:v>
      </x:c>
      <x:c r="C26" s="5" t="n">
        <x:v>8349</x:v>
      </x:c>
      <x:c r="D26" s="5" t="n">
        <x:v>7471.503213643484</x:v>
      </x:c>
      <x:c r="E26" s="5" t="n">
        <x:v>7200</x:v>
      </x:c>
      <x:c r="F26" s="5" t="n">
        <x:v>8218</x:v>
      </x:c>
      <x:c r="G26" s="5" t="n">
        <x:f>F26-$D26</x:f>
        <x:v>746.4967863565162</x:v>
      </x:c>
      <x:c r="H26" s="6" t="n">
        <x:f>G26/$D26</x:f>
        <x:v>0.09991252964910209</x:v>
      </x:c>
      <x:c r="I26" s="5" t="n">
        <x:f>ABS(G26)</x:f>
        <x:v>746.4967863565162</x:v>
      </x:c>
      <x:c r="J26" s="6" t="n">
        <x:f>ABS(H26)</x:f>
        <x:v>0.09991252964910209</x:v>
      </x:c>
      <x:c r="K26" s="5" t="n">
        <x:v>12715.702274811125</x:v>
      </x:c>
      <x:c r="L26" s="5" t="n">
        <x:f>K26-$D26</x:f>
        <x:v>5244.199061167641</x:v>
      </x:c>
      <x:c r="M26" s="6" t="n">
        <x:f>L26/$D26</x:f>
        <x:v>0.7018934357936659</x:v>
      </x:c>
      <x:c r="N26" s="5" t="n">
        <x:f>ABS(L26)</x:f>
        <x:v>5244.199061167641</x:v>
      </x:c>
      <x:c r="O26" s="6" t="n">
        <x:f>ABS(M26)</x:f>
        <x:v>0.7018934357936659</x:v>
      </x:c>
      <x:c r="P26" s="5" t="n">
        <x:v>6932.401968689861</x:v>
      </x:c>
      <x:c r="Q26" s="5" t="n">
        <x:f>P26-$D26</x:f>
        <x:v>-539.1012449536229</x:v>
      </x:c>
      <x:c r="R26" s="6" t="n">
        <x:f>Q26/$D26</x:f>
        <x:v>-0.07215432149840832</x:v>
      </x:c>
      <x:c r="S26" s="5" t="n">
        <x:f>ABS(Q26)</x:f>
        <x:v>539.1012449536229</x:v>
      </x:c>
      <x:c r="T26" s="6" t="n">
        <x:f>ABS(R26)</x:f>
        <x:v>0.07215432149840832</x:v>
      </x:c>
    </x:row>
    <x:row r="27">
      <x:c r="A27" s="4"/>
      <x:c r="B27" s="4" t="str">
        <x:v>Huacaya (Autonomía Guaraní Chaqueño de Huacaya)</x:v>
      </x:c>
      <x:c r="C27" s="5" t="n">
        <x:v>2541</x:v>
      </x:c>
      <x:c r="D27" s="5" t="n">
        <x:v>2545.498673087816</x:v>
      </x:c>
      <x:c r="E27" s="5" t="n">
        <x:v>2547</x:v>
      </x:c>
      <x:c r="F27" s="5" t="n">
        <x:v>2496</x:v>
      </x:c>
      <x:c r="G27" s="5" t="n">
        <x:f>F27-$D27</x:f>
        <x:v>-49.49867308781586</x:v>
      </x:c>
      <x:c r="H27" s="6" t="n">
        <x:f>G27/$D27</x:f>
        <x:v>-0.019445570178896036</x:v>
      </x:c>
      <x:c r="I27" s="5" t="n">
        <x:f>ABS(G27)</x:f>
        <x:v>49.49867308781586</x:v>
      </x:c>
      <x:c r="J27" s="6" t="n">
        <x:f>ABS(H27)</x:f>
        <x:v>0.019445570178896036</x:v>
      </x:c>
      <x:c r="K27" s="5" t="n">
        <x:v>2201.472835331957</x:v>
      </x:c>
      <x:c r="L27" s="5" t="n">
        <x:f>K27-$D27</x:f>
        <x:v>-344.0258377558589</x:v>
      </x:c>
      <x:c r="M27" s="6" t="n">
        <x:f>L27/$D27</x:f>
        <x:v>-0.1351506647373493</x:v>
      </x:c>
      <x:c r="N27" s="5" t="n">
        <x:f>ABS(L27)</x:f>
        <x:v>344.0258377558589</x:v>
      </x:c>
      <x:c r="O27" s="6" t="n">
        <x:f>ABS(M27)</x:f>
        <x:v>0.1351506647373493</x:v>
      </x:c>
      <x:c r="P27" s="5" t="n">
        <x:v>1964.403102918557</x:v>
      </x:c>
      <x:c r="Q27" s="5" t="n">
        <x:f>P27-$D27</x:f>
        <x:v>-581.095570169259</x:v>
      </x:c>
      <x:c r="R27" s="6" t="n">
        <x:f>Q27/$D27</x:f>
        <x:v>-0.2282835879322464</x:v>
      </x:c>
      <x:c r="S27" s="5" t="n">
        <x:f>ABS(Q27)</x:f>
        <x:v>581.095570169259</x:v>
      </x:c>
      <x:c r="T27" s="6" t="n">
        <x:f>ABS(R27)</x:f>
        <x:v>0.2282835879322464</x:v>
      </x:c>
    </x:row>
    <x:row r="28">
      <x:c r="A28" s="4"/>
      <x:c r="B28" s="4" t="str">
        <x:v>Icla</x:v>
      </x:c>
      <x:c r="C28" s="5" t="n">
        <x:v>7774</x:v>
      </x:c>
      <x:c r="D28" s="5" t="n">
        <x:v>8788.300442073441</x:v>
      </x:c>
      <x:c r="E28" s="5" t="n">
        <x:v>9155</x:v>
      </x:c>
      <x:c r="F28" s="5" t="n">
        <x:v>8001</x:v>
      </x:c>
      <x:c r="G28" s="5" t="n">
        <x:f>F28-$D28</x:f>
        <x:v>-787.3004420734414</x:v>
      </x:c>
      <x:c r="H28" s="6" t="n">
        <x:f>G28/$D28</x:f>
        <x:v>-0.08958506223846076</x:v>
      </x:c>
      <x:c r="I28" s="5" t="n">
        <x:f>ABS(G28)</x:f>
        <x:v>787.3004420734414</x:v>
      </x:c>
      <x:c r="J28" s="6" t="n">
        <x:f>ABS(H28)</x:f>
        <x:v>0.08958506223846076</x:v>
      </x:c>
      <x:c r="K28" s="5" t="n">
        <x:v>7452.8591760030495</x:v>
      </x:c>
      <x:c r="L28" s="5" t="n">
        <x:f>K28-$D28</x:f>
        <x:v>-1335.441266070392</x:v>
      </x:c>
      <x:c r="M28" s="6" t="n">
        <x:f>L28/$D28</x:f>
        <x:v>-0.15195671505232686</x:v>
      </x:c>
      <x:c r="N28" s="5" t="n">
        <x:f>ABS(L28)</x:f>
        <x:v>1335.441266070392</x:v>
      </x:c>
      <x:c r="O28" s="6" t="n">
        <x:f>ABS(M28)</x:f>
        <x:v>0.15195671505232686</x:v>
      </x:c>
      <x:c r="P28" s="5" t="n">
        <x:v>6167.418102230979</x:v>
      </x:c>
      <x:c r="Q28" s="5" t="n">
        <x:f>P28-$D28</x:f>
        <x:v>-2620.882339842463</x:v>
      </x:c>
      <x:c r="R28" s="6" t="n">
        <x:f>Q28/$D28</x:f>
        <x:v>-0.2982240260352447</x:v>
      </x:c>
      <x:c r="S28" s="5" t="n">
        <x:f>ABS(Q28)</x:f>
        <x:v>2620.882339842463</x:v>
      </x:c>
      <x:c r="T28" s="6" t="n">
        <x:f>ABS(R28)</x:f>
        <x:v>0.2982240260352447</x:v>
      </x:c>
    </x:row>
    <x:row r="29">
      <x:c r="A29" s="4"/>
      <x:c r="B29" s="4" t="str">
        <x:v>Incahuasi</x:v>
      </x:c>
      <x:c r="C29" s="5" t="n">
        <x:v>13056</x:v>
      </x:c>
      <x:c r="D29" s="5" t="n">
        <x:v>15550.683764667843</x:v>
      </x:c>
      <x:c r="E29" s="5" t="n">
        <x:v>16484</x:v>
      </x:c>
      <x:c r="F29" s="5" t="n">
        <x:v>12538</x:v>
      </x:c>
      <x:c r="G29" s="5" t="n">
        <x:f>F29-$D29</x:f>
        <x:v>-3012.683764667843</x:v>
      </x:c>
      <x:c r="H29" s="6" t="n">
        <x:f>G29/$D29</x:f>
        <x:v>-0.19373320236328484</x:v>
      </x:c>
      <x:c r="I29" s="5" t="n">
        <x:f>ABS(G29)</x:f>
        <x:v>3012.683764667843</x:v>
      </x:c>
      <x:c r="J29" s="6" t="n">
        <x:f>ABS(H29)</x:f>
        <x:v>0.19373320236328484</x:v>
      </x:c>
      <x:c r="K29" s="5" t="n">
        <x:v>13396.940206823156</x:v>
      </x:c>
      <x:c r="L29" s="5" t="n">
        <x:f>K29-$D29</x:f>
        <x:v>-2153.7435578446875</x:v>
      </x:c>
      <x:c r="M29" s="6" t="n">
        <x:f>L29/$D29</x:f>
        <x:v>-0.1384983188159309</x:v>
      </x:c>
      <x:c r="N29" s="5" t="n">
        <x:f>ABS(L29)</x:f>
        <x:v>2153.7435578446875</x:v>
      </x:c>
      <x:c r="O29" s="6" t="n">
        <x:f>ABS(M29)</x:f>
        <x:v>0.1384983188159309</x:v>
      </x:c>
      <x:c r="P29" s="5" t="n">
        <x:v>14856.904515779885</x:v>
      </x:c>
      <x:c r="Q29" s="5" t="n">
        <x:f>P29-$D29</x:f>
        <x:v>-693.7792488879586</x:v>
      </x:c>
      <x:c r="R29" s="6" t="n">
        <x:f>Q29/$D29</x:f>
        <x:v>-0.04461406709743978</x:v>
      </x:c>
      <x:c r="S29" s="5" t="n">
        <x:f>ABS(Q29)</x:f>
        <x:v>693.7792488879586</x:v>
      </x:c>
      <x:c r="T29" s="6" t="n">
        <x:f>ABS(R29)</x:f>
        <x:v>0.04461406709743978</x:v>
      </x:c>
    </x:row>
    <x:row r="30">
      <x:c r="A30" s="4"/>
      <x:c r="B30" s="4" t="str">
        <x:v>Las Carreras</x:v>
      </x:c>
      <x:c r="C30" s="5" t="n">
        <x:v>4088</x:v>
      </x:c>
      <x:c r="D30" s="5" t="n">
        <x:v>4765.910338308286</x:v>
      </x:c>
      <x:c r="E30" s="5" t="n">
        <x:v>5016</x:v>
      </x:c>
      <x:c r="F30" s="5" t="n">
        <x:v>3078</x:v>
      </x:c>
      <x:c r="G30" s="5" t="n">
        <x:f>F30-$D30</x:f>
        <x:v>-1687.9103383082856</x:v>
      </x:c>
      <x:c r="H30" s="6" t="n">
        <x:f>G30/$D30</x:f>
        <x:v>-0.35416325916601876</x:v>
      </x:c>
      <x:c r="I30" s="5" t="n">
        <x:f>ABS(G30)</x:f>
        <x:v>1687.9103383082856</x:v>
      </x:c>
      <x:c r="J30" s="6" t="n">
        <x:f>ABS(H30)</x:f>
        <x:v>0.35416325916601876</x:v>
      </x:c>
      <x:c r="K30" s="5" t="n">
        <x:v>10076.265107029078</x:v>
      </x:c>
      <x:c r="L30" s="5" t="n">
        <x:f>K30-$D30</x:f>
        <x:v>5310.354768720792</x:v>
      </x:c>
      <x:c r="M30" s="6" t="n">
        <x:f>L30/$D30</x:f>
        <x:v>1.1142372373303528</x:v>
      </x:c>
      <x:c r="N30" s="5" t="n">
        <x:f>ABS(L30)</x:f>
        <x:v>5310.354768720792</x:v>
      </x:c>
      <x:c r="O30" s="6" t="n">
        <x:f>ABS(M30)</x:f>
        <x:v>1.1142372373303528</x:v>
      </x:c>
      <x:c r="P30" s="5" t="n">
        <x:v>4308.584109913041</x:v>
      </x:c>
      <x:c r="Q30" s="5" t="n">
        <x:f>P30-$D30</x:f>
        <x:v>-457.32622839524447</x:v>
      </x:c>
      <x:c r="R30" s="6" t="n">
        <x:f>Q30/$D30</x:f>
        <x:v>-0.09595779104765484</x:v>
      </x:c>
      <x:c r="S30" s="5" t="n">
        <x:f>ABS(Q30)</x:f>
        <x:v>457.32622839524447</x:v>
      </x:c>
      <x:c r="T30" s="6" t="n">
        <x:f>ABS(R30)</x:f>
        <x:v>0.09595779104765484</x:v>
      </x:c>
    </x:row>
    <x:row r="31">
      <x:c r="A31" s="4"/>
      <x:c r="B31" s="4" t="str">
        <x:v>Macharetí</x:v>
      </x:c>
      <x:c r="C31" s="5" t="n">
        <x:v>7418</x:v>
      </x:c>
      <x:c r="D31" s="5" t="n">
        <x:v>7280.322348216072</x:v>
      </x:c>
      <x:c r="E31" s="5" t="n">
        <x:v>7235</x:v>
      </x:c>
      <x:c r="F31" s="5" t="n">
        <x:v>7119</x:v>
      </x:c>
      <x:c r="G31" s="5" t="n">
        <x:f>F31-$D31</x:f>
        <x:v>-161.322348216072</x:v>
      </x:c>
      <x:c r="H31" s="6" t="n">
        <x:f>G31/$D31</x:f>
        <x:v>-0.022158682061049328</x:v>
      </x:c>
      <x:c r="I31" s="5" t="n">
        <x:f>ABS(G31)</x:f>
        <x:v>161.322348216072</x:v>
      </x:c>
      <x:c r="J31" s="6" t="n">
        <x:f>ABS(H31)</x:f>
        <x:v>0.022158682061049328</x:v>
      </x:c>
      <x:c r="K31" s="5" t="n">
        <x:v>15630.44725607344</x:v>
      </x:c>
      <x:c r="L31" s="5" t="n">
        <x:f>K31-$D31</x:f>
        <x:v>8350.124907857367</x:v>
      </x:c>
      <x:c r="M31" s="6" t="n">
        <x:f>L31/$D31</x:f>
        <x:v>1.1469443945573967</x:v>
      </x:c>
      <x:c r="N31" s="5" t="n">
        <x:f>ABS(L31)</x:f>
        <x:v>8350.124907857367</x:v>
      </x:c>
      <x:c r="O31" s="6" t="n">
        <x:f>ABS(M31)</x:f>
        <x:v>1.1469443945573967</x:v>
      </x:c>
      <x:c r="P31" s="5" t="n">
        <x:v>6513.5929480651575</x:v>
      </x:c>
      <x:c r="Q31" s="5" t="n">
        <x:f>P31-$D31</x:f>
        <x:v>-766.7294001509144</x:v>
      </x:c>
      <x:c r="R31" s="6" t="n">
        <x:f>Q31/$D31</x:f>
        <x:v>-0.1053153093336299</x:v>
      </x:c>
      <x:c r="S31" s="5" t="n">
        <x:f>ABS(Q31)</x:f>
        <x:v>766.7294001509144</x:v>
      </x:c>
      <x:c r="T31" s="6" t="n">
        <x:f>ABS(R31)</x:f>
        <x:v>0.1053153093336299</x:v>
      </x:c>
    </x:row>
    <x:row r="32">
      <x:c r="A32" s="4"/>
      <x:c r="B32" s="4" t="str">
        <x:v>Mojocoya</x:v>
      </x:c>
      <x:c r="C32" s="5" t="n">
        <x:v>8068</x:v>
      </x:c>
      <x:c r="D32" s="5" t="n">
        <x:v>8797.470381602683</x:v>
      </x:c>
      <x:c r="E32" s="5" t="n">
        <x:v>9055</x:v>
      </x:c>
      <x:c r="F32" s="5" t="n">
        <x:v>7765</x:v>
      </x:c>
      <x:c r="G32" s="5" t="n">
        <x:f>F32-$D32</x:f>
        <x:v>-1032.4703816026831</x:v>
      </x:c>
      <x:c r="H32" s="6" t="n">
        <x:f>G32/$D32</x:f>
        <x:v>-0.1173599156141282</x:v>
      </x:c>
      <x:c r="I32" s="5" t="n">
        <x:f>ABS(G32)</x:f>
        <x:v>1032.4703816026831</x:v>
      </x:c>
      <x:c r="J32" s="6" t="n">
        <x:f>ABS(H32)</x:f>
        <x:v>0.1173599156141282</x:v>
      </x:c>
      <x:c r="K32" s="5" t="n">
        <x:v>12207.483038574468</x:v>
      </x:c>
      <x:c r="L32" s="5" t="n">
        <x:f>K32-$D32</x:f>
        <x:v>3410.012656971785</x:v>
      </x:c>
      <x:c r="M32" s="6" t="n">
        <x:f>L32/$D32</x:f>
        <x:v>0.38761286018112906</x:v>
      </x:c>
      <x:c r="N32" s="5" t="n">
        <x:f>ABS(L32)</x:f>
        <x:v>3410.012656971785</x:v>
      </x:c>
      <x:c r="O32" s="6" t="n">
        <x:f>ABS(M32)</x:f>
        <x:v>0.38761286018112906</x:v>
      </x:c>
      <x:c r="P32" s="5" t="n">
        <x:v>6844.213437749277</x:v>
      </x:c>
      <x:c r="Q32" s="5" t="n">
        <x:f>P32-$D32</x:f>
        <x:v>-1953.2569438534065</x:v>
      </x:c>
      <x:c r="R32" s="6" t="n">
        <x:f>Q32/$D32</x:f>
        <x:v>-0.22202483886027827</x:v>
      </x:c>
      <x:c r="S32" s="5" t="n">
        <x:f>ABS(Q32)</x:f>
        <x:v>1953.2569438534065</x:v>
      </x:c>
      <x:c r="T32" s="6" t="n">
        <x:f>ABS(R32)</x:f>
        <x:v>0.22202483886027827</x:v>
      </x:c>
    </x:row>
    <x:row r="33">
      <x:c r="A33" s="4"/>
      <x:c r="B33" s="4" t="str">
        <x:v>Monteagudo</x:v>
      </x:c>
      <x:c r="C33" s="5" t="n">
        <x:v>24303</x:v>
      </x:c>
      <x:c r="D33" s="5" t="n">
        <x:v>24485.023159303015</x:v>
      </x:c>
      <x:c r="E33" s="5" t="n">
        <x:v>24546</x:v>
      </x:c>
      <x:c r="F33" s="5" t="n">
        <x:v>24916</x:v>
      </x:c>
      <x:c r="G33" s="5" t="n">
        <x:f>F33-$D33</x:f>
        <x:v>430.97684069698516</x:v>
      </x:c>
      <x:c r="H33" s="6" t="n">
        <x:f>G33/$D33</x:f>
        <x:v>0.01760165133980021</x:v>
      </x:c>
      <x:c r="I33" s="5" t="n">
        <x:f>ABS(G33)</x:f>
        <x:v>430.97684069698516</x:v>
      </x:c>
      <x:c r="J33" s="6" t="n">
        <x:f>ABS(H33)</x:f>
        <x:v>0.01760165133980021</x:v>
      </x:c>
      <x:c r="K33" s="5" t="n">
        <x:v>19460.08835025985</x:v>
      </x:c>
      <x:c r="L33" s="5" t="n">
        <x:f>K33-$D33</x:f>
        <x:v>-5024.934809043163</x:v>
      </x:c>
      <x:c r="M33" s="6" t="n">
        <x:f>L33/$D33</x:f>
        <x:v>-0.20522483382393508</x:v>
      </x:c>
      <x:c r="N33" s="5" t="n">
        <x:f>ABS(L33)</x:f>
        <x:v>5024.934809043163</x:v>
      </x:c>
      <x:c r="O33" s="6" t="n">
        <x:f>ABS(M33)</x:f>
        <x:v>0.20522483382393508</x:v>
      </x:c>
      <x:c r="P33" s="5" t="n">
        <x:v>20365.473752453618</x:v>
      </x:c>
      <x:c r="Q33" s="5" t="n">
        <x:f>P33-$D33</x:f>
        <x:v>-4119.549406849397</x:v>
      </x:c>
      <x:c r="R33" s="6" t="n">
        <x:f>Q33/$D33</x:f>
        <x:v>-0.16824772351845566</x:v>
      </x:c>
      <x:c r="S33" s="5" t="n">
        <x:f>ABS(Q33)</x:f>
        <x:v>4119.549406849397</x:v>
      </x:c>
      <x:c r="T33" s="6" t="n">
        <x:f>ABS(R33)</x:f>
        <x:v>0.16824772351845566</x:v>
      </x:c>
    </x:row>
    <x:row r="34">
      <x:c r="A34" s="4"/>
      <x:c r="B34" s="4" t="str">
        <x:v>Padilla</x:v>
      </x:c>
      <x:c r="C34" s="5" t="n">
        <x:v>10383</x:v>
      </x:c>
      <x:c r="D34" s="5" t="n">
        <x:v>9476.287434595124</x:v>
      </x:c>
      <x:c r="E34" s="5" t="n">
        <x:v>9192</x:v>
      </x:c>
      <x:c r="F34" s="5" t="n">
        <x:v>10192</x:v>
      </x:c>
      <x:c r="G34" s="5" t="n">
        <x:f>F34-$D34</x:f>
        <x:v>715.7125654048759</x:v>
      </x:c>
      <x:c r="H34" s="6" t="n">
        <x:f>G34/$D34</x:f>
        <x:v>0.07552668387748782</x:v>
      </x:c>
      <x:c r="I34" s="5" t="n">
        <x:f>ABS(G34)</x:f>
        <x:v>715.7125654048759</x:v>
      </x:c>
      <x:c r="J34" s="6" t="n">
        <x:f>ABS(H34)</x:f>
        <x:v>0.07552668387748782</x:v>
      </x:c>
      <x:c r="K34" s="5" t="n">
        <x:v>11664.659400133403</x:v>
      </x:c>
      <x:c r="L34" s="5" t="n">
        <x:f>K34-$D34</x:f>
        <x:v>2188.3719655382793</x:v>
      </x:c>
      <x:c r="M34" s="6" t="n">
        <x:f>L34/$D34</x:f>
        <x:v>0.23093136216501625</x:v>
      </x:c>
      <x:c r="N34" s="5" t="n">
        <x:f>ABS(L34)</x:f>
        <x:v>2188.3719655382793</x:v>
      </x:c>
      <x:c r="O34" s="6" t="n">
        <x:f>ABS(M34)</x:f>
        <x:v>0.23093136216501625</x:v>
      </x:c>
      <x:c r="P34" s="5" t="n">
        <x:v>8893.955178241435</x:v>
      </x:c>
      <x:c r="Q34" s="5" t="n">
        <x:f>P34-$D34</x:f>
        <x:v>-582.3322563536894</x:v>
      </x:c>
      <x:c r="R34" s="6" t="n">
        <x:f>Q34/$D34</x:f>
        <x:v>-0.06145151889628912</x:v>
      </x:c>
      <x:c r="S34" s="5" t="n">
        <x:f>ABS(Q34)</x:f>
        <x:v>582.3322563536894</x:v>
      </x:c>
      <x:c r="T34" s="6" t="n">
        <x:f>ABS(R34)</x:f>
        <x:v>0.06145151889628912</x:v>
      </x:c>
    </x:row>
    <x:row r="35">
      <x:c r="A35" s="4"/>
      <x:c r="B35" s="4" t="str">
        <x:v>Poroma</x:v>
      </x:c>
      <x:c r="C35" s="5" t="n">
        <x:v>16532</x:v>
      </x:c>
      <x:c r="D35" s="5" t="n">
        <x:v>14318.811586482963</x:v>
      </x:c>
      <x:c r="E35" s="5" t="n">
        <x:v>13649</x:v>
      </x:c>
      <x:c r="F35" s="5" t="n">
        <x:v>15793</x:v>
      </x:c>
      <x:c r="G35" s="5" t="n">
        <x:f>F35-$D35</x:f>
        <x:v>1474.1884135170367</x:v>
      </x:c>
      <x:c r="H35" s="6" t="n">
        <x:f>G35/$D35</x:f>
        <x:v>0.10295466244619621</x:v>
      </x:c>
      <x:c r="I35" s="5" t="n">
        <x:f>ABS(G35)</x:f>
        <x:v>1474.1884135170367</x:v>
      </x:c>
      <x:c r="J35" s="6" t="n">
        <x:f>ABS(H35)</x:f>
        <x:v>0.10295466244619621</x:v>
      </x:c>
      <x:c r="K35" s="5" t="n">
        <x:v>13927.070947490516</x:v>
      </x:c>
      <x:c r="L35" s="5" t="n">
        <x:f>K35-$D35</x:f>
        <x:v>-391.7406389924472</x:v>
      </x:c>
      <x:c r="M35" s="6" t="n">
        <x:f>L35/$D35</x:f>
        <x:v>-0.027358460346126247</x:v>
      </x:c>
      <x:c r="N35" s="5" t="n">
        <x:f>ABS(L35)</x:f>
        <x:v>391.7406389924472</x:v>
      </x:c>
      <x:c r="O35" s="6" t="n">
        <x:f>ABS(M35)</x:f>
        <x:v>0.027358460346126247</x:v>
      </x:c>
      <x:c r="P35" s="5" t="n">
        <x:v>13851.374212746974</x:v>
      </x:c>
      <x:c r="Q35" s="5" t="n">
        <x:f>P35-$D35</x:f>
        <x:v>-467.43737373598924</x:v>
      </x:c>
      <x:c r="R35" s="6" t="n">
        <x:f>Q35/$D35</x:f>
        <x:v>-0.03264498390196381</x:v>
      </x:c>
      <x:c r="S35" s="5" t="n">
        <x:f>ABS(Q35)</x:f>
        <x:v>467.43737373598924</x:v>
      </x:c>
      <x:c r="T35" s="6" t="n">
        <x:f>ABS(R35)</x:f>
        <x:v>0.03264498390196381</x:v>
      </x:c>
    </x:row>
    <x:row r="36">
      <x:c r="A36" s="4"/>
      <x:c r="B36" s="4" t="str">
        <x:v>Presto</x:v>
      </x:c>
      <x:c r="C36" s="5" t="n">
        <x:v>12385</x:v>
      </x:c>
      <x:c r="D36" s="5" t="n">
        <x:v>12500.321402049098</x:v>
      </x:c>
      <x:c r="E36" s="5" t="n">
        <x:v>12539</x:v>
      </x:c>
      <x:c r="F36" s="5" t="n">
        <x:v>10102</x:v>
      </x:c>
      <x:c r="G36" s="5" t="n">
        <x:f>F36-$D36</x:f>
        <x:v>-2398.3214020490977</x:v>
      </x:c>
      <x:c r="H36" s="6" t="n">
        <x:f>G36/$D36</x:f>
        <x:v>-0.19186077900812665</x:v>
      </x:c>
      <x:c r="I36" s="5" t="n">
        <x:f>ABS(G36)</x:f>
        <x:v>2398.3214020490977</x:v>
      </x:c>
      <x:c r="J36" s="6" t="n">
        <x:f>ABS(H36)</x:f>
        <x:v>0.19186077900812665</x:v>
      </x:c>
      <x:c r="K36" s="5" t="n">
        <x:v>12546.692289774392</x:v>
      </x:c>
      <x:c r="L36" s="5" t="n">
        <x:f>K36-$D36</x:f>
        <x:v>46.37088772529387</x:v>
      </x:c>
      <x:c r="M36" s="6" t="n">
        <x:f>L36/$D36</x:f>
        <x:v>0.003709575636806633</x:v>
      </x:c>
      <x:c r="N36" s="5" t="n">
        <x:f>ABS(L36)</x:f>
        <x:v>46.37088772529387</x:v>
      </x:c>
      <x:c r="O36" s="6" t="n">
        <x:f>ABS(M36)</x:f>
        <x:v>0.003709575636806633</x:v>
      </x:c>
      <x:c r="P36" s="5" t="n">
        <x:v>10151.073197561856</x:v>
      </x:c>
      <x:c r="Q36" s="5" t="n">
        <x:f>P36-$D36</x:f>
        <x:v>-2349.2482044872413</x:v>
      </x:c>
      <x:c r="R36" s="6" t="n">
        <x:f>Q36/$D36</x:f>
        <x:v>-0.18793502414283075</x:v>
      </x:c>
      <x:c r="S36" s="5" t="n">
        <x:f>ABS(Q36)</x:f>
        <x:v>2349.2482044872413</x:v>
      </x:c>
      <x:c r="T36" s="6" t="n">
        <x:f>ABS(R36)</x:f>
        <x:v>0.18793502414283075</x:v>
      </x:c>
    </x:row>
    <x:row r="37">
      <x:c r="A37" s="4"/>
      <x:c r="B37" s="4" t="str">
        <x:v>San Lucas</x:v>
      </x:c>
      <x:c r="C37" s="5" t="n">
        <x:v>32520</x:v>
      </x:c>
      <x:c r="D37" s="5" t="n">
        <x:v>28061.05649440273</x:v>
      </x:c>
      <x:c r="E37" s="5" t="n">
        <x:v>26715</x:v>
      </x:c>
      <x:c r="F37" s="5" t="n">
        <x:v>31324</x:v>
      </x:c>
      <x:c r="G37" s="5" t="n">
        <x:f>F37-$D37</x:f>
        <x:v>3262.9435055972717</x:v>
      </x:c>
      <x:c r="H37" s="6" t="n">
        <x:f>G37/$D37</x:f>
        <x:v>0.11628013742989766</x:v>
      </x:c>
      <x:c r="I37" s="5" t="n">
        <x:f>ABS(G37)</x:f>
        <x:v>3262.9435055972717</x:v>
      </x:c>
      <x:c r="J37" s="6" t="n">
        <x:f>ABS(H37)</x:f>
        <x:v>0.11628013742989766</x:v>
      </x:c>
      <x:c r="K37" s="5" t="n">
        <x:v>44058.31768847782</x:v>
      </x:c>
      <x:c r="L37" s="5" t="n">
        <x:f>K37-$D37</x:f>
        <x:v>15997.261194075094</x:v>
      </x:c>
      <x:c r="M37" s="6" t="n">
        <x:f>L37/$D37</x:f>
        <x:v>0.5700876300671726</x:v>
      </x:c>
      <x:c r="N37" s="5" t="n">
        <x:f>ABS(L37)</x:f>
        <x:v>15997.261194075094</x:v>
      </x:c>
      <x:c r="O37" s="6" t="n">
        <x:f>ABS(M37)</x:f>
        <x:v>0.5700876300671726</x:v>
      </x:c>
      <x:c r="P37" s="5" t="n">
        <x:v>27223.644408202585</x:v>
      </x:c>
      <x:c r="Q37" s="5" t="n">
        <x:f>P37-$D37</x:f>
        <x:v>-837.4120862001437</x:v>
      </x:c>
      <x:c r="R37" s="6" t="n">
        <x:f>Q37/$D37</x:f>
        <x:v>-0.02984250027675117</x:v>
      </x:c>
      <x:c r="S37" s="5" t="n">
        <x:f>ABS(Q37)</x:f>
        <x:v>837.4120862001437</x:v>
      </x:c>
      <x:c r="T37" s="6" t="n">
        <x:f>ABS(R37)</x:f>
        <x:v>0.02984250027675117</x:v>
      </x:c>
    </x:row>
    <x:row r="38">
      <x:c r="A38" s="4"/>
      <x:c r="B38" s="4" t="str">
        <x:v>Sopachuy</x:v>
      </x:c>
      <x:c r="C38" s="5" t="n">
        <x:v>7312</x:v>
      </x:c>
      <x:c r="D38" s="5" t="n">
        <x:v>7032.70665470693</x:v>
      </x:c>
      <x:c r="E38" s="5" t="n">
        <x:v>6942</x:v>
      </x:c>
      <x:c r="F38" s="5" t="n">
        <x:v>6077</x:v>
      </x:c>
      <x:c r="G38" s="5" t="n">
        <x:f>F38-$D38</x:f>
        <x:v>-955.7066547069298</x:v>
      </x:c>
      <x:c r="H38" s="6" t="n">
        <x:f>G38/$D38</x:f>
        <x:v>-0.13589457112750233</x:v>
      </x:c>
      <x:c r="I38" s="5" t="n">
        <x:f>ABS(G38)</x:f>
        <x:v>955.7066547069298</x:v>
      </x:c>
      <x:c r="J38" s="6" t="n">
        <x:f>ABS(H38)</x:f>
        <x:v>0.13589457112750233</x:v>
      </x:c>
      <x:c r="K38" s="5" t="n">
        <x:v>7008.849521790771</x:v>
      </x:c>
      <x:c r="L38" s="5" t="n">
        <x:f>K38-$D38</x:f>
        <x:v>-23.857132916158662</x:v>
      </x:c>
      <x:c r="M38" s="6" t="n">
        <x:f>L38/$D38</x:f>
        <x:v>-0.003392311678490285</x:v>
      </x:c>
      <x:c r="N38" s="5" t="n">
        <x:f>ABS(L38)</x:f>
        <x:v>23.857132916158662</x:v>
      </x:c>
      <x:c r="O38" s="6" t="n">
        <x:f>ABS(M38)</x:f>
        <x:v>0.003392311678490285</x:v>
      </x:c>
      <x:c r="P38" s="5" t="n">
        <x:v>6183.064695920868</x:v>
      </x:c>
      <x:c r="Q38" s="5" t="n">
        <x:f>P38-$D38</x:f>
        <x:v>-849.6419587860619</x:v>
      </x:c>
      <x:c r="R38" s="6" t="n">
        <x:f>Q38/$D38</x:f>
        <x:v>-0.12081293881601102</x:v>
      </x:c>
      <x:c r="S38" s="5" t="n">
        <x:f>ABS(Q38)</x:f>
        <x:v>849.6419587860619</x:v>
      </x:c>
      <x:c r="T38" s="6" t="n">
        <x:f>ABS(R38)</x:f>
        <x:v>0.12081293881601102</x:v>
      </x:c>
    </x:row>
    <x:row r="39">
      <x:c r="A39" s="4"/>
      <x:c r="B39" s="4" t="str">
        <x:v>Sucre</x:v>
      </x:c>
      <x:c r="C39" s="5" t="n">
        <x:v>261622</x:v>
      </x:c>
      <x:c r="D39" s="5" t="n">
        <x:v>287545.9271264257</x:v>
      </x:c>
      <x:c r="E39" s="5" t="n">
        <x:v>296746</x:v>
      </x:c>
      <x:c r="F39" s="5" t="n">
        <x:v>353996</x:v>
      </x:c>
      <x:c r="G39" s="5" t="n">
        <x:f>F39-$D39</x:f>
        <x:v>66450.07287357427</x:v>
      </x:c>
      <x:c r="H39" s="6" t="n">
        <x:f>G39/$D39</x:f>
        <x:v>0.23109377182851934</x:v>
      </x:c>
      <x:c r="I39" s="5" t="n">
        <x:f>ABS(G39)</x:f>
        <x:v>66450.07287357427</x:v>
      </x:c>
      <x:c r="J39" s="6" t="n">
        <x:f>ABS(H39)</x:f>
        <x:v>0.23109377182851934</x:v>
      </x:c>
      <x:c r="K39" s="5" t="n">
        <x:v>299617.24239084625</x:v>
      </x:c>
      <x:c r="L39" s="5" t="n">
        <x:f>K39-$D39</x:f>
        <x:v>12071.315264420526</x:v>
      </x:c>
      <x:c r="M39" s="6" t="n">
        <x:f>L39/$D39</x:f>
        <x:v>0.041980477292982536</x:v>
      </x:c>
      <x:c r="N39" s="5" t="n">
        <x:f>ABS(L39)</x:f>
        <x:v>12071.315264420526</x:v>
      </x:c>
      <x:c r="O39" s="6" t="n">
        <x:f>ABS(M39)</x:f>
        <x:v>0.041980477292982536</x:v>
      </x:c>
      <x:c r="P39" s="5" t="n">
        <x:v>219787.19455054708</x:v>
      </x:c>
      <x:c r="Q39" s="5" t="n">
        <x:f>P39-$D39</x:f>
        <x:v>-67758.73257587865</x:v>
      </x:c>
      <x:c r="R39" s="6" t="n">
        <x:f>Q39/$D39</x:f>
        <x:v>-0.23564490463496313</x:v>
      </x:c>
      <x:c r="S39" s="5" t="n">
        <x:f>ABS(Q39)</x:f>
        <x:v>67758.73257587865</x:v>
      </x:c>
      <x:c r="T39" s="6" t="n">
        <x:f>ABS(R39)</x:f>
        <x:v>0.23564490463496313</x:v>
      </x:c>
    </x:row>
    <x:row r="40">
      <x:c r="A40" s="4"/>
      <x:c r="B40" s="4" t="str">
        <x:v>Tarabuco</x:v>
      </x:c>
      <x:c r="C40" s="5" t="n">
        <x:v>16944</x:v>
      </x:c>
      <x:c r="D40" s="5" t="n">
        <x:v>14148.340611612764</x:v>
      </x:c>
      <x:c r="E40" s="5" t="n">
        <x:v>13323</x:v>
      </x:c>
      <x:c r="F40" s="5" t="n">
        <x:v>15421</x:v>
      </x:c>
      <x:c r="G40" s="5" t="n">
        <x:f>F40-$D40</x:f>
        <x:v>1272.6593883872356</x:v>
      </x:c>
      <x:c r="H40" s="6" t="n">
        <x:f>G40/$D40</x:f>
        <x:v>0.0899511415029586</x:v>
      </x:c>
      <x:c r="I40" s="5" t="n">
        <x:f>ABS(G40)</x:f>
        <x:v>1272.6593883872356</x:v>
      </x:c>
      <x:c r="J40" s="6" t="n">
        <x:f>ABS(H40)</x:f>
        <x:v>0.0899511415029586</x:v>
      </x:c>
      <x:c r="K40" s="5" t="n">
        <x:v>20769.89349109957</x:v>
      </x:c>
      <x:c r="L40" s="5" t="n">
        <x:f>K40-$D40</x:f>
        <x:v>6621.552879486806</x:v>
      </x:c>
      <x:c r="M40" s="6" t="n">
        <x:f>L40/$D40</x:f>
        <x:v>0.4680091511263113</x:v>
      </x:c>
      <x:c r="N40" s="5" t="n">
        <x:f>ABS(L40)</x:f>
        <x:v>6621.552879486806</x:v>
      </x:c>
      <x:c r="O40" s="6" t="n">
        <x:f>ABS(M40)</x:f>
        <x:v>0.4680091511263113</x:v>
      </x:c>
      <x:c r="P40" s="5" t="n">
        <x:v>15315.130863134036</x:v>
      </x:c>
      <x:c r="Q40" s="5" t="n">
        <x:f>P40-$D40</x:f>
        <x:v>1166.7902515212718</x:v>
      </x:c>
      <x:c r="R40" s="6" t="n">
        <x:f>Q40/$D40</x:f>
        <x:v>0.08246834618637795</x:v>
      </x:c>
      <x:c r="S40" s="5" t="n">
        <x:f>ABS(Q40)</x:f>
        <x:v>1166.7902515212718</x:v>
      </x:c>
      <x:c r="T40" s="6" t="n">
        <x:f>ABS(R40)</x:f>
        <x:v>0.08246834618637795</x:v>
      </x:c>
    </x:row>
    <x:row r="41">
      <x:c r="A41" s="4"/>
      <x:c r="B41" s="4" t="str">
        <x:v>Tarvita</x:v>
      </x:c>
      <x:c r="C41" s="5" t="n">
        <x:v>14261</x:v>
      </x:c>
      <x:c r="D41" s="5" t="n">
        <x:v>16134.370699543186</x:v>
      </x:c>
      <x:c r="E41" s="5" t="n">
        <x:v>16812</x:v>
      </x:c>
      <x:c r="F41" s="5" t="n">
        <x:v>13870</x:v>
      </x:c>
      <x:c r="G41" s="5" t="n">
        <x:f>F41-$D41</x:f>
        <x:v>-2264.3706995431858</x:v>
      </x:c>
      <x:c r="H41" s="6" t="n">
        <x:f>G41/$D41</x:f>
        <x:v>-0.1403445316653904</x:v>
      </x:c>
      <x:c r="I41" s="5" t="n">
        <x:f>ABS(G41)</x:f>
        <x:v>2264.3706995431858</x:v>
      </x:c>
      <x:c r="J41" s="6" t="n">
        <x:f>ABS(H41)</x:f>
        <x:v>0.1403445316653904</x:v>
      </x:c>
      <x:c r="K41" s="5" t="n">
        <x:v>14946.981537640471</x:v>
      </x:c>
      <x:c r="L41" s="5" t="n">
        <x:f>K41-$D41</x:f>
        <x:v>-1187.3891619027145</x:v>
      </x:c>
      <x:c r="M41" s="6" t="n">
        <x:f>L41/$D41</x:f>
        <x:v>-0.07359376972393061</x:v>
      </x:c>
      <x:c r="N41" s="5" t="n">
        <x:f>ABS(L41)</x:f>
        <x:v>1187.3891619027145</x:v>
      </x:c>
      <x:c r="O41" s="6" t="n">
        <x:f>ABS(M41)</x:f>
        <x:v>0.07359376972393061</x:v>
      </x:c>
      <x:c r="P41" s="5" t="n">
        <x:v>11723.417859588952</x:v>
      </x:c>
      <x:c r="Q41" s="5" t="n">
        <x:f>P41-$D41</x:f>
        <x:v>-4410.952839954234</x:v>
      </x:c>
      <x:c r="R41" s="6" t="n">
        <x:f>Q41/$D41</x:f>
        <x:v>-0.2733885890001971</x:v>
      </x:c>
      <x:c r="S41" s="5" t="n">
        <x:f>ABS(Q41)</x:f>
        <x:v>4410.952839954234</x:v>
      </x:c>
      <x:c r="T41" s="6" t="n">
        <x:f>ABS(R41)</x:f>
        <x:v>0.2733885890001971</x:v>
      </x:c>
    </x:row>
    <x:row r="42">
      <x:c r="A42" s="4"/>
      <x:c r="B42" s="4" t="str">
        <x:v>Tomina</x:v>
      </x:c>
      <x:c r="C42" s="5" t="n">
        <x:v>8494</x:v>
      </x:c>
      <x:c r="D42" s="5" t="n">
        <x:v>8505.24751845487</x:v>
      </x:c>
      <x:c r="E42" s="5" t="n">
        <x:v>8509</x:v>
      </x:c>
      <x:c r="F42" s="5" t="n">
        <x:v>8944</x:v>
      </x:c>
      <x:c r="G42" s="5" t="n">
        <x:f>F42-$D42</x:f>
        <x:v>438.75248154513065</x:v>
      </x:c>
      <x:c r="H42" s="6" t="n">
        <x:f>G42/$D42</x:f>
        <x:v>0.05158609206764601</x:v>
      </x:c>
      <x:c r="I42" s="5" t="n">
        <x:f>ABS(G42)</x:f>
        <x:v>438.75248154513065</x:v>
      </x:c>
      <x:c r="J42" s="6" t="n">
        <x:f>ABS(H42)</x:f>
        <x:v>0.05158609206764601</x:v>
      </x:c>
      <x:c r="K42" s="5" t="n">
        <x:v>8575.642181091936</x:v>
      </x:c>
      <x:c r="L42" s="5" t="n">
        <x:f>K42-$D42</x:f>
        <x:v>70.39466263706709</x:v>
      </x:c>
      <x:c r="M42" s="6" t="n">
        <x:f>L42/$D42</x:f>
        <x:v>0.00827661540529223</x:v>
      </x:c>
      <x:c r="N42" s="5" t="n">
        <x:f>ABS(L42)</x:f>
        <x:v>70.39466263706709</x:v>
      </x:c>
      <x:c r="O42" s="6" t="n">
        <x:f>ABS(M42)</x:f>
        <x:v>0.00827661540529223</x:v>
      </x:c>
      <x:c r="P42" s="5" t="n">
        <x:v>7244.851658864631</x:v>
      </x:c>
      <x:c r="Q42" s="5" t="n">
        <x:f>P42-$D42</x:f>
        <x:v>-1260.3958595902386</x:v>
      </x:c>
      <x:c r="R42" s="6" t="n">
        <x:f>Q42/$D42</x:f>
        <x:v>-0.14819037974561053</x:v>
      </x:c>
      <x:c r="S42" s="5" t="n">
        <x:f>ABS(Q42)</x:f>
        <x:v>1260.3958595902386</x:v>
      </x:c>
      <x:c r="T42" s="6" t="n">
        <x:f>ABS(R42)</x:f>
        <x:v>0.14819037974561053</x:v>
      </x:c>
    </x:row>
    <x:row r="43">
      <x:c r="A43" s="4"/>
      <x:c r="B43" s="4" t="str">
        <x:v>Villa Abecia</x:v>
      </x:c>
      <x:c r="C43" s="5" t="n">
        <x:v>3514</x:v>
      </x:c>
      <x:c r="D43" s="5" t="n">
        <x:v>4833.194701754842</x:v>
      </x:c>
      <x:c r="E43" s="5" t="n">
        <x:v>5375</x:v>
      </x:c>
      <x:c r="F43" s="5" t="n">
        <x:v>3245</x:v>
      </x:c>
      <x:c r="G43" s="5" t="n">
        <x:f>F43-$D43</x:f>
        <x:v>-1588.1947017548418</x:v>
      </x:c>
      <x:c r="H43" s="6" t="n">
        <x:f>G43/$D43</x:f>
        <x:v>-0.328601432335883</x:v>
      </x:c>
      <x:c r="I43" s="5" t="n">
        <x:f>ABS(G43)</x:f>
        <x:v>1588.1947017548418</x:v>
      </x:c>
      <x:c r="J43" s="6" t="n">
        <x:f>ABS(H43)</x:f>
        <x:v>0.328601432335883</x:v>
      </x:c>
      <x:c r="K43" s="5" t="n">
        <x:v>4658.6290600631655</x:v>
      </x:c>
      <x:c r="L43" s="5" t="n">
        <x:f>K43-$D43</x:f>
        <x:v>-174.56564169167632</x:v>
      </x:c>
      <x:c r="M43" s="6" t="n">
        <x:f>L43/$D43</x:f>
        <x:v>-0.03611806526815376</x:v>
      </x:c>
      <x:c r="N43" s="5" t="n">
        <x:f>ABS(L43)</x:f>
        <x:v>174.56564169167632</x:v>
      </x:c>
      <x:c r="O43" s="6" t="n">
        <x:f>ABS(M43)</x:f>
        <x:v>0.03611806526815376</x:v>
      </x:c>
      <x:c r="P43" s="5" t="n">
        <x:v>2972.2039014204493</x:v>
      </x:c>
      <x:c r="Q43" s="5" t="n">
        <x:f>P43-$D43</x:f>
        <x:v>-1860.9908003343926</x:v>
      </x:c>
      <x:c r="R43" s="6" t="n">
        <x:f>Q43/$D43</x:f>
        <x:v>-0.3850436233530385</x:v>
      </x:c>
      <x:c r="S43" s="5" t="n">
        <x:f>ABS(Q43)</x:f>
        <x:v>1860.9908003343926</x:v>
      </x:c>
      <x:c r="T43" s="6" t="n">
        <x:f>ABS(R43)</x:f>
        <x:v>0.3850436233530385</x:v>
      </x:c>
    </x:row>
    <x:row r="44">
      <x:c r="A44" s="4"/>
      <x:c r="B44" s="4" t="str">
        <x:v>Villa Charcas</x:v>
      </x:c>
      <x:c r="C44" s="5" t="n">
        <x:v>16150</x:v>
      </x:c>
      <x:c r="D44" s="5" t="n">
        <x:v>14727.699122280836</x:v>
      </x:c>
      <x:c r="E44" s="5" t="n">
        <x:v>14282</x:v>
      </x:c>
      <x:c r="F44" s="5" t="n">
        <x:v>15539</x:v>
      </x:c>
      <x:c r="G44" s="5" t="n">
        <x:f>F44-$D44</x:f>
        <x:v>811.3008777191644</x:v>
      </x:c>
      <x:c r="H44" s="6" t="n">
        <x:f>G44/$D44</x:f>
        <x:v>0.05508673629078869</x:v>
      </x:c>
      <x:c r="I44" s="5" t="n">
        <x:f>ABS(G44)</x:f>
        <x:v>811.3008777191644</x:v>
      </x:c>
      <x:c r="J44" s="6" t="n">
        <x:f>ABS(H44)</x:f>
        <x:v>0.05508673629078869</x:v>
      </x:c>
      <x:c r="K44" s="5" t="n">
        <x:v>11708.60895679085</x:v>
      </x:c>
      <x:c r="L44" s="5" t="n">
        <x:f>K44-$D44</x:f>
        <x:v>-3019.0901654899862</x:v>
      </x:c>
      <x:c r="M44" s="6" t="n">
        <x:f>L44/$D44</x:f>
        <x:v>-0.20499401436864964</x:v>
      </x:c>
      <x:c r="N44" s="5" t="n">
        <x:f>ABS(L44)</x:f>
        <x:v>3019.0901654899862</x:v>
      </x:c>
      <x:c r="O44" s="6" t="n">
        <x:f>ABS(M44)</x:f>
        <x:v>0.20499401436864964</x:v>
      </x:c>
      <x:c r="P44" s="5" t="n">
        <x:v>8981.130016584895</x:v>
      </x:c>
      <x:c r="Q44" s="5" t="n">
        <x:f>P44-$D44</x:f>
        <x:v>-5746.56910569594</x:v>
      </x:c>
      <x:c r="R44" s="6" t="n">
        <x:f>Q44/$D44</x:f>
        <x:v>-0.39018783979652527</x:v>
      </x:c>
      <x:c r="S44" s="5" t="n">
        <x:f>ABS(Q44)</x:f>
        <x:v>5746.56910569594</x:v>
      </x:c>
      <x:c r="T44" s="6" t="n">
        <x:f>ABS(R44)</x:f>
        <x:v>0.39018783979652527</x:v>
      </x:c>
    </x:row>
    <x:row r="45">
      <x:c r="A45" s="4"/>
      <x:c r="B45" s="4" t="str">
        <x:v>Villa Serrano</x:v>
      </x:c>
      <x:c r="C45" s="5" t="n">
        <x:v>11161</x:v>
      </x:c>
      <x:c r="D45" s="5" t="n">
        <x:v>9582.024555312384</x:v>
      </x:c>
      <x:c r="E45" s="5" t="n">
        <x:v>9107</x:v>
      </x:c>
      <x:c r="F45" s="5" t="n">
        <x:v>10242</x:v>
      </x:c>
      <x:c r="G45" s="5" t="n">
        <x:f>F45-$D45</x:f>
        <x:v>659.9754446876159</x:v>
      </x:c>
      <x:c r="H45" s="6" t="n">
        <x:f>G45/$D45</x:f>
        <x:v>0.06887640924711656</x:v>
      </x:c>
      <x:c r="I45" s="5" t="n">
        <x:f>ABS(G45)</x:f>
        <x:v>659.9754446876159</x:v>
      </x:c>
      <x:c r="J45" s="6" t="n">
        <x:f>ABS(H45)</x:f>
        <x:v>0.06887640924711656</x:v>
      </x:c>
      <x:c r="K45" s="5" t="n">
        <x:v>12178.43308110099</x:v>
      </x:c>
      <x:c r="L45" s="5" t="n">
        <x:f>K45-$D45</x:f>
        <x:v>2596.4085257886054</x:v>
      </x:c>
      <x:c r="M45" s="6" t="n">
        <x:f>L45/$D45</x:f>
        <x:v>0.2709665907033318</x:v>
      </x:c>
      <x:c r="N45" s="5" t="n">
        <x:f>ABS(L45)</x:f>
        <x:v>2596.4085257886054</x:v>
      </x:c>
      <x:c r="O45" s="6" t="n">
        <x:f>ABS(M45)</x:f>
        <x:v>0.2709665907033318</x:v>
      </x:c>
      <x:c r="P45" s="5" t="n">
        <x:v>9437.18254840147</x:v>
      </x:c>
      <x:c r="Q45" s="5" t="n">
        <x:f>P45-$D45</x:f>
        <x:v>-144.84200691091428</x:v>
      </x:c>
      <x:c r="R45" s="6" t="n">
        <x:f>Q45/$D45</x:f>
        <x:v>-0.015116012913013484</x:v>
      </x:c>
      <x:c r="S45" s="5" t="n">
        <x:f>ABS(Q45)</x:f>
        <x:v>144.84200691091428</x:v>
      </x:c>
      <x:c r="T45" s="6" t="n">
        <x:f>ABS(R45)</x:f>
        <x:v>0.015116012913013484</x:v>
      </x:c>
    </x:row>
    <x:row r="46">
      <x:c r="A46" s="4"/>
      <x:c r="B46" s="4" t="str">
        <x:v>Villa Vaca Guzmán</x:v>
      </x:c>
      <x:c r="C46" s="5" t="n">
        <x:v>9720</x:v>
      </x:c>
      <x:c r="D46" s="5" t="n">
        <x:v>12284.68919323315</x:v>
      </x:c>
      <x:c r="E46" s="5" t="n">
        <x:v>13282</x:v>
      </x:c>
      <x:c r="F46" s="5" t="n">
        <x:v>9435</x:v>
      </x:c>
      <x:c r="G46" s="5" t="n">
        <x:f>F46-$D46</x:f>
        <x:v>-2849.689193233149</x:v>
      </x:c>
      <x:c r="H46" s="6" t="n">
        <x:f>G46/$D46</x:f>
        <x:v>-0.2319708010848871</x:v>
      </x:c>
      <x:c r="I46" s="5" t="n">
        <x:f>ABS(G46)</x:f>
        <x:v>2849.689193233149</x:v>
      </x:c>
      <x:c r="J46" s="6" t="n">
        <x:f>ABS(H46)</x:f>
        <x:v>0.2319708010848871</x:v>
      </x:c>
      <x:c r="K46" s="5" t="n">
        <x:v>6546.583981634278</x:v>
      </x:c>
      <x:c r="L46" s="5" t="n">
        <x:f>K46-$D46</x:f>
        <x:v>-5738.105211598871</x:v>
      </x:c>
      <x:c r="M46" s="6" t="n">
        <x:f>L46/$D46</x:f>
        <x:v>-0.4670940486438702</x:v>
      </x:c>
      <x:c r="N46" s="5" t="n">
        <x:f>ABS(L46)</x:f>
        <x:v>5738.105211598871</x:v>
      </x:c>
      <x:c r="O46" s="6" t="n">
        <x:f>ABS(M46)</x:f>
        <x:v>0.4670940486438702</x:v>
      </x:c>
      <x:c r="P46" s="5" t="n">
        <x:v>8315.771656425837</x:v>
      </x:c>
      <x:c r="Q46" s="5" t="n">
        <x:f>P46-$D46</x:f>
        <x:v>-3968.917536807312</x:v>
      </x:c>
      <x:c r="R46" s="6" t="n">
        <x:f>Q46/$D46</x:f>
        <x:v>-0.32307838435127323</x:v>
      </x:c>
      <x:c r="S46" s="5" t="n">
        <x:f>ABS(Q46)</x:f>
        <x:v>3968.917536807312</x:v>
      </x:c>
      <x:c r="T46" s="6" t="n">
        <x:f>ABS(R46)</x:f>
        <x:v>0.32307838435127323</x:v>
      </x:c>
    </x:row>
    <x:row r="47">
      <x:c r="A47" s="4"/>
      <x:c r="B47" s="4" t="str">
        <x:v>Yamparáez</x:v>
      </x:c>
      <x:c r="C47" s="5" t="n">
        <x:v>10111</x:v>
      </x:c>
      <x:c r="D47" s="5" t="n">
        <x:v>8861.258721185257</x:v>
      </x:c>
      <x:c r="E47" s="5" t="n">
        <x:v>8480</x:v>
      </x:c>
      <x:c r="F47" s="5" t="n">
        <x:v>8513</x:v>
      </x:c>
      <x:c r="G47" s="5" t="n">
        <x:f>F47-$D47</x:f>
        <x:v>-348.25872118525695</x:v>
      </x:c>
      <x:c r="H47" s="6" t="n">
        <x:f>G47/$D47</x:f>
        <x:v>-0.03930126995983645</x:v>
      </x:c>
      <x:c r="I47" s="5" t="n">
        <x:f>ABS(G47)</x:f>
        <x:v>348.25872118525695</x:v>
      </x:c>
      <x:c r="J47" s="6" t="n">
        <x:f>ABS(H47)</x:f>
        <x:v>0.03930126995983645</x:v>
      </x:c>
      <x:c r="K47" s="5" t="n">
        <x:v>10196.065310786938</x:v>
      </x:c>
      <x:c r="L47" s="5" t="n">
        <x:f>K47-$D47</x:f>
        <x:v>1334.8065896016815</x:v>
      </x:c>
      <x:c r="M47" s="6" t="n">
        <x:f>L47/$D47</x:f>
        <x:v>0.1506339710418862</x:v>
      </x:c>
      <x:c r="N47" s="5" t="n">
        <x:f>ABS(L47)</x:f>
        <x:v>1334.8065896016815</x:v>
      </x:c>
      <x:c r="O47" s="6" t="n">
        <x:f>ABS(M47)</x:f>
        <x:v>0.1506339710418862</x:v>
      </x:c>
      <x:c r="P47" s="5" t="n">
        <x:v>8768.653394499692</x:v>
      </x:c>
      <x:c r="Q47" s="5" t="n">
        <x:f>P47-$D47</x:f>
        <x:v>-92.60532668556516</x:v>
      </x:c>
      <x:c r="R47" s="6" t="n">
        <x:f>Q47/$D47</x:f>
        <x:v>-0.0104505837826591</x:v>
      </x:c>
      <x:c r="S47" s="5" t="n">
        <x:f>ABS(Q47)</x:f>
        <x:v>92.60532668556516</x:v>
      </x:c>
      <x:c r="T47" s="6" t="n">
        <x:f>ABS(R47)</x:f>
        <x:v>0.0104505837826591</x:v>
      </x:c>
    </x:row>
    <x:row r="48">
      <x:c r="A48" s="4"/>
      <x:c r="B48" s="4" t="str">
        <x:v>Yotala</x:v>
      </x:c>
      <x:c r="C48" s="5" t="n">
        <x:v>9461</x:v>
      </x:c>
      <x:c r="D48" s="5" t="n">
        <x:v>9306.829763920921</x:v>
      </x:c>
      <x:c r="E48" s="5" t="n">
        <x:v>9256</x:v>
      </x:c>
      <x:c r="F48" s="5" t="n">
        <x:v>9033</x:v>
      </x:c>
      <x:c r="G48" s="5" t="n">
        <x:f>F48-$D48</x:f>
        <x:v>-273.8297639209213</x:v>
      </x:c>
      <x:c r="H48" s="6" t="n">
        <x:f>G48/$D48</x:f>
        <x:v>-0.029422453280756926</x:v>
      </x:c>
      <x:c r="I48" s="5" t="n">
        <x:f>ABS(G48)</x:f>
        <x:v>273.8297639209213</x:v>
      </x:c>
      <x:c r="J48" s="6" t="n">
        <x:f>ABS(H48)</x:f>
        <x:v>0.029422453280756926</x:v>
      </x:c>
      <x:c r="K48" s="5" t="n">
        <x:v>11158.104983676823</x:v>
      </x:c>
      <x:c r="L48" s="5" t="n">
        <x:f>K48-$D48</x:f>
        <x:v>1851.275219755902</x:v>
      </x:c>
      <x:c r="M48" s="6" t="n">
        <x:f>L48/$D48</x:f>
        <x:v>0.19891577118264264</x:v>
      </x:c>
      <x:c r="N48" s="5" t="n">
        <x:f>ABS(L48)</x:f>
        <x:v>1851.275219755902</x:v>
      </x:c>
      <x:c r="O48" s="6" t="n">
        <x:f>ABS(M48)</x:f>
        <x:v>0.19891577118264264</x:v>
      </x:c>
      <x:c r="P48" s="5" t="n">
        <x:v>8135.032523415452</x:v>
      </x:c>
      <x:c r="Q48" s="5" t="n">
        <x:f>P48-$D48</x:f>
        <x:v>-1171.7972405054697</x:v>
      </x:c>
      <x:c r="R48" s="6" t="n">
        <x:f>Q48/$D48</x:f>
        <x:v>-0.12590723911681365</x:v>
      </x:c>
      <x:c r="S48" s="5" t="n">
        <x:f>ABS(Q48)</x:f>
        <x:v>1171.7972405054697</x:v>
      </x:c>
      <x:c r="T48" s="6" t="n">
        <x:f>ABS(R48)</x:f>
        <x:v>0.12590723911681365</x:v>
      </x:c>
    </x:row>
    <x:row r="49">
      <x:c r="A49" s="4"/>
      <x:c r="B49" s="4" t="str">
        <x:v>Zudáñez</x:v>
      </x:c>
      <x:c r="C49" s="5" t="n">
        <x:v>11362</x:v>
      </x:c>
      <x:c r="D49" s="5" t="n">
        <x:v>13069.574204918297</x:v>
      </x:c>
      <x:c r="E49" s="5" t="n">
        <x:v>13694</x:v>
      </x:c>
      <x:c r="F49" s="5" t="n">
        <x:v>7682</x:v>
      </x:c>
      <x:c r="G49" s="5" t="n">
        <x:f>F49-$D49</x:f>
        <x:v>-5387.574204918297</x:v>
      </x:c>
      <x:c r="H49" s="6" t="n">
        <x:f>G49/$D49</x:f>
        <x:v>-0.4122226264181479</x:v>
      </x:c>
      <x:c r="I49" s="5" t="n">
        <x:f>ABS(G49)</x:f>
        <x:v>5387.574204918297</x:v>
      </x:c>
      <x:c r="J49" s="6" t="n">
        <x:f>ABS(H49)</x:f>
        <x:v>0.4122226264181479</x:v>
      </x:c>
      <x:c r="K49" s="5" t="n">
        <x:v>10140.785337325604</x:v>
      </x:c>
      <x:c r="L49" s="5" t="n">
        <x:f>K49-$D49</x:f>
        <x:v>-2928.7888675926934</x:v>
      </x:c>
      <x:c r="M49" s="6" t="n">
        <x:f>L49/$D49</x:f>
        <x:v>-0.22409214115717263</x:v>
      </x:c>
      <x:c r="N49" s="5" t="n">
        <x:f>ABS(L49)</x:f>
        <x:v>2928.7888675926934</x:v>
      </x:c>
      <x:c r="O49" s="6" t="n">
        <x:f>ABS(M49)</x:f>
        <x:v>0.22409214115717263</x:v>
      </x:c>
      <x:c r="P49" s="5" t="n">
        <x:v>9168.365106636047</x:v>
      </x:c>
      <x:c r="Q49" s="5" t="n">
        <x:f>P49-$D49</x:f>
        <x:v>-3901.20909828225</x:v>
      </x:c>
      <x:c r="R49" s="6" t="n">
        <x:f>Q49/$D49</x:f>
        <x:v>-0.29849550085680376</x:v>
      </x:c>
      <x:c r="S49" s="5" t="n">
        <x:f>ABS(Q49)</x:f>
        <x:v>3901.20909828225</x:v>
      </x:c>
      <x:c r="T49" s="6" t="n">
        <x:f>ABS(R49)</x:f>
        <x:v>0.29849550085680376</x:v>
      </x:c>
    </x:row>
    <x:row r="50">
      <x:c r="A50" s="4"/>
      <x:c r="B50" s="4" t="str">
        <x:v>Aiquile</x:v>
      </x:c>
      <x:c r="C50" s="5" t="n">
        <x:v>23267</x:v>
      </x:c>
      <x:c r="D50" s="5" t="n">
        <x:v>23158.916231975265</x:v>
      </x:c>
      <x:c r="E50" s="5" t="n">
        <x:v>23123</x:v>
      </x:c>
      <x:c r="F50" s="5" t="n">
        <x:v>21345</x:v>
      </x:c>
      <x:c r="G50" s="5" t="n">
        <x:f>F50-$D50</x:f>
        <x:v>-1813.916231975265</x:v>
      </x:c>
      <x:c r="H50" s="6" t="n">
        <x:f>G50/$D50</x:f>
        <x:v>-0.07832474602031723</x:v>
      </x:c>
      <x:c r="I50" s="5" t="n">
        <x:f>ABS(G50)</x:f>
        <x:v>1813.916231975265</x:v>
      </x:c>
      <x:c r="J50" s="6" t="n">
        <x:f>ABS(H50)</x:f>
        <x:v>0.07832474602031723</x:v>
      </x:c>
      <x:c r="K50" s="5" t="n">
        <x:v>16980.624580088584</x:v>
      </x:c>
      <x:c r="L50" s="5" t="n">
        <x:f>K50-$D50</x:f>
        <x:v>-6178.2916518866805</x:v>
      </x:c>
      <x:c r="M50" s="6" t="n">
        <x:f>L50/$D50</x:f>
        <x:v>-0.26677809919949447</x:v>
      </x:c>
      <x:c r="N50" s="5" t="n">
        <x:f>ABS(L50)</x:f>
        <x:v>6178.2916518866805</x:v>
      </x:c>
      <x:c r="O50" s="6" t="n">
        <x:f>ABS(M50)</x:f>
        <x:v>0.26677809919949447</x:v>
      </x:c>
      <x:c r="P50" s="5" t="n">
        <x:v>24420.93717286644</x:v>
      </x:c>
      <x:c r="Q50" s="5" t="n">
        <x:f>P50-$D50</x:f>
        <x:v>1262.020940891176</x:v>
      </x:c>
      <x:c r="R50" s="6" t="n">
        <x:f>Q50/$D50</x:f>
        <x:v>0.054493955081918614</x:v>
      </x:c>
      <x:c r="S50" s="5" t="n">
        <x:f>ABS(Q50)</x:f>
        <x:v>1262.020940891176</x:v>
      </x:c>
      <x:c r="T50" s="6" t="n">
        <x:f>ABS(R50)</x:f>
        <x:v>0.054493955081918614</x:v>
      </x:c>
    </x:row>
    <x:row r="51">
      <x:c r="A51" s="4"/>
      <x:c r="B51" s="4" t="str">
        <x:v>Alalay</x:v>
      </x:c>
      <x:c r="C51" s="5" t="n">
        <x:v>3447</x:v>
      </x:c>
      <x:c r="D51" s="5" t="n">
        <x:v>3495.63598368915</x:v>
      </x:c>
      <x:c r="E51" s="5" t="n">
        <x:v>3512</x:v>
      </x:c>
      <x:c r="F51" s="5" t="n">
        <x:v>2538</x:v>
      </x:c>
      <x:c r="G51" s="5" t="n">
        <x:f>F51-$D51</x:f>
        <x:v>-957.6359836891502</x:v>
      </x:c>
      <x:c r="H51" s="6" t="n">
        <x:f>G51/$D51</x:f>
        <x:v>-0.2739518611656185</x:v>
      </x:c>
      <x:c r="I51" s="5" t="n">
        <x:f>ABS(G51)</x:f>
        <x:v>957.6359836891502</x:v>
      </x:c>
      <x:c r="J51" s="6" t="n">
        <x:f>ABS(H51)</x:f>
        <x:v>0.2739518611656185</x:v>
      </x:c>
      <x:c r="K51" s="5" t="n">
        <x:v>4810.6226108963365</x:v>
      </x:c>
      <x:c r="L51" s="5" t="n">
        <x:f>K51-$D51</x:f>
        <x:v>1314.9866272071863</x:v>
      </x:c>
      <x:c r="M51" s="6" t="n">
        <x:f>L51/$D51</x:f>
        <x:v>0.37617950877694184</x:v>
      </x:c>
      <x:c r="N51" s="5" t="n">
        <x:f>ABS(L51)</x:f>
        <x:v>1314.9866272071863</x:v>
      </x:c>
      <x:c r="O51" s="6" t="n">
        <x:f>ABS(M51)</x:f>
        <x:v>0.37617950877694184</x:v>
      </x:c>
      <x:c r="P51" s="5" t="n">
        <x:v>3639.106218190551</x:v>
      </x:c>
      <x:c r="Q51" s="5" t="n">
        <x:f>P51-$D51</x:f>
        <x:v>143.47023450140068</x:v>
      </x:c>
      <x:c r="R51" s="6" t="n">
        <x:f>Q51/$D51</x:f>
        <x:v>0.041042670109485514</x:v>
      </x:c>
      <x:c r="S51" s="5" t="n">
        <x:f>ABS(Q51)</x:f>
        <x:v>143.47023450140068</x:v>
      </x:c>
      <x:c r="T51" s="6" t="n">
        <x:f>ABS(R51)</x:f>
        <x:v>0.041042670109485514</x:v>
      </x:c>
    </x:row>
    <x:row r="52">
      <x:c r="A52" s="4"/>
      <x:c r="B52" s="4" t="str">
        <x:v>Anzaldo</x:v>
      </x:c>
      <x:c r="C52" s="5" t="n">
        <x:v>7192</x:v>
      </x:c>
      <x:c r="D52" s="5" t="n">
        <x:v>7298.985624772654</x:v>
      </x:c>
      <x:c r="E52" s="5" t="n">
        <x:v>7335</x:v>
      </x:c>
      <x:c r="F52" s="5" t="n">
        <x:v>5254</x:v>
      </x:c>
      <x:c r="G52" s="5" t="n">
        <x:f>F52-$D52</x:f>
        <x:v>-2044.9856247726539</x:v>
      </x:c>
      <x:c r="H52" s="6" t="n">
        <x:f>G52/$D52</x:f>
        <x:v>-0.28017394880625623</x:v>
      </x:c>
      <x:c r="I52" s="5" t="n">
        <x:f>ABS(G52)</x:f>
        <x:v>2044.9856247726539</x:v>
      </x:c>
      <x:c r="J52" s="6" t="n">
        <x:f>ABS(H52)</x:f>
        <x:v>0.28017394880625623</x:v>
      </x:c>
      <x:c r="K52" s="5" t="n">
        <x:v>11016.422877747866</x:v>
      </x:c>
      <x:c r="L52" s="5" t="n">
        <x:f>K52-$D52</x:f>
        <x:v>3717.437252975212</x:v>
      </x:c>
      <x:c r="M52" s="6" t="n">
        <x:f>L52/$D52</x:f>
        <x:v>0.5093087511171802</x:v>
      </x:c>
      <x:c r="N52" s="5" t="n">
        <x:f>ABS(L52)</x:f>
        <x:v>3717.437252975212</x:v>
      </x:c>
      <x:c r="O52" s="6" t="n">
        <x:f>ABS(M52)</x:f>
        <x:v>0.5093087511171802</x:v>
      </x:c>
      <x:c r="P52" s="5" t="n">
        <x:v>7359.085406918253</x:v>
      </x:c>
      <x:c r="Q52" s="5" t="n">
        <x:f>P52-$D52</x:f>
        <x:v>60.09978214559942</x:v>
      </x:c>
      <x:c r="R52" s="6" t="n">
        <x:f>Q52/$D52</x:f>
        <x:v>0.008233991027687685</x:v>
      </x:c>
      <x:c r="S52" s="5" t="n">
        <x:f>ABS(Q52)</x:f>
        <x:v>60.09978214559942</x:v>
      </x:c>
      <x:c r="T52" s="6" t="n">
        <x:f>ABS(R52)</x:f>
        <x:v>0.008233991027687685</x:v>
      </x:c>
    </x:row>
    <x:row r="53">
      <x:c r="A53" s="4"/>
      <x:c r="B53" s="4" t="str">
        <x:v>Arani</x:v>
      </x:c>
      <x:c r="C53" s="5" t="n">
        <x:v>9504</x:v>
      </x:c>
      <x:c r="D53" s="5" t="n">
        <x:v>10737.306505328008</x:v>
      </x:c>
      <x:c r="E53" s="5" t="n">
        <x:v>11183</x:v>
      </x:c>
      <x:c r="F53" s="5" t="n">
        <x:v>9271</x:v>
      </x:c>
      <x:c r="G53" s="5" t="n">
        <x:f>F53-$D53</x:f>
        <x:v>-1466.306505328008</x:v>
      </x:c>
      <x:c r="H53" s="6" t="n">
        <x:f>G53/$D53</x:f>
        <x:v>-0.13656185604838655</x:v>
      </x:c>
      <x:c r="I53" s="5" t="n">
        <x:f>ABS(G53)</x:f>
        <x:v>1466.306505328008</x:v>
      </x:c>
      <x:c r="J53" s="6" t="n">
        <x:f>ABS(H53)</x:f>
        <x:v>0.13656185604838655</x:v>
      </x:c>
      <x:c r="K53" s="5" t="n">
        <x:v>11511.694287828965</x:v>
      </x:c>
      <x:c r="L53" s="5" t="n">
        <x:f>K53-$D53</x:f>
        <x:v>774.3877825009567</x:v>
      </x:c>
      <x:c r="M53" s="6" t="n">
        <x:f>L53/$D53</x:f>
        <x:v>0.07212123283587875</x:v>
      </x:c>
      <x:c r="N53" s="5" t="n">
        <x:f>ABS(L53)</x:f>
        <x:v>774.3877825009567</x:v>
      </x:c>
      <x:c r="O53" s="6" t="n">
        <x:f>ABS(M53)</x:f>
        <x:v>0.07212123283587875</x:v>
      </x:c>
      <x:c r="P53" s="5" t="n">
        <x:v>9980.347218717994</x:v>
      </x:c>
      <x:c r="Q53" s="5" t="n">
        <x:f>P53-$D53</x:f>
        <x:v>-756.9592866100138</x:v>
      </x:c>
      <x:c r="R53" s="6" t="n">
        <x:f>Q53/$D53</x:f>
        <x:v>-0.07049806077850153</x:v>
      </x:c>
      <x:c r="S53" s="5" t="n">
        <x:f>ABS(Q53)</x:f>
        <x:v>756.9592866100138</x:v>
      </x:c>
      <x:c r="T53" s="6" t="n">
        <x:f>ABS(R53)</x:f>
        <x:v>0.07049806077850153</x:v>
      </x:c>
    </x:row>
    <x:row r="54">
      <x:c r="A54" s="4"/>
      <x:c r="B54" s="4" t="str">
        <x:v>Arbieto</x:v>
      </x:c>
      <x:c r="C54" s="5" t="n">
        <x:v>17445</x:v>
      </x:c>
      <x:c r="D54" s="5" t="n">
        <x:v>25787.019573307505</x:v>
      </x:c>
      <x:c r="E54" s="5" t="n">
        <x:v>29375</x:v>
      </x:c>
      <x:c r="F54" s="5" t="n">
        <x:v>17823</x:v>
      </x:c>
      <x:c r="G54" s="5" t="n">
        <x:f>F54-$D54</x:f>
        <x:v>-7964.019573307505</x:v>
      </x:c>
      <x:c r="H54" s="6" t="n">
        <x:f>G54/$D54</x:f>
        <x:v>-0.30883831109940174</x:v>
      </x:c>
      <x:c r="I54" s="5" t="n">
        <x:f>ABS(G54)</x:f>
        <x:v>7964.019573307505</x:v>
      </x:c>
      <x:c r="J54" s="6" t="n">
        <x:f>ABS(H54)</x:f>
        <x:v>0.30883831109940174</x:v>
      </x:c>
      <x:c r="K54" s="5" t="n">
        <x:v>15513.140901108423</x:v>
      </x:c>
      <x:c r="L54" s="5" t="n">
        <x:f>K54-$D54</x:f>
        <x:v>-10273.878672199082</x:v>
      </x:c>
      <x:c r="M54" s="6" t="n">
        <x:f>L54/$D54</x:f>
        <x:v>-0.3984128000132948</x:v>
      </x:c>
      <x:c r="N54" s="5" t="n">
        <x:f>ABS(L54)</x:f>
        <x:v>10273.878672199082</x:v>
      </x:c>
      <x:c r="O54" s="6" t="n">
        <x:f>ABS(M54)</x:f>
        <x:v>0.3984128000132948</x:v>
      </x:c>
      <x:c r="P54" s="5" t="n">
        <x:v>16863.904824192847</x:v>
      </x:c>
      <x:c r="Q54" s="5" t="n">
        <x:f>P54-$D54</x:f>
        <x:v>-8923.114749114658</x:v>
      </x:c>
      <x:c r="R54" s="6" t="n">
        <x:f>Q54/$D54</x:f>
        <x:v>-0.3460312551339239</x:v>
      </x:c>
      <x:c r="S54" s="5" t="n">
        <x:f>ABS(Q54)</x:f>
        <x:v>8923.114749114658</x:v>
      </x:c>
      <x:c r="T54" s="6" t="n">
        <x:f>ABS(R54)</x:f>
        <x:v>0.3460312551339239</x:v>
      </x:c>
    </x:row>
    <x:row r="55">
      <x:c r="A55" s="4"/>
      <x:c r="B55" s="4" t="str">
        <x:v>Arque</x:v>
      </x:c>
      <x:c r="C55" s="5" t="n">
        <x:v>10597</x:v>
      </x:c>
      <x:c r="D55" s="5" t="n">
        <x:v>10623.239177503272</x:v>
      </x:c>
      <x:c r="E55" s="5" t="n">
        <x:v>10632</x:v>
      </x:c>
      <x:c r="F55" s="5" t="n">
        <x:v>10082</x:v>
      </x:c>
      <x:c r="G55" s="5" t="n">
        <x:f>F55-$D55</x:f>
        <x:v>-541.239177503272</x:v>
      </x:c>
      <x:c r="H55" s="6" t="n">
        <x:f>G55/$D55</x:f>
        <x:v>-0.05094860131262495</x:v>
      </x:c>
      <x:c r="I55" s="5" t="n">
        <x:f>ABS(G55)</x:f>
        <x:v>541.239177503272</x:v>
      </x:c>
      <x:c r="J55" s="6" t="n">
        <x:f>ABS(H55)</x:f>
        <x:v>0.05094860131262495</x:v>
      </x:c>
      <x:c r="K55" s="5" t="n">
        <x:v>9318.97529700446</x:v>
      </x:c>
      <x:c r="L55" s="5" t="n">
        <x:f>K55-$D55</x:f>
        <x:v>-1304.2638804988128</x:v>
      </x:c>
      <x:c r="M55" s="6" t="n">
        <x:f>L55/$D55</x:f>
        <x:v>-0.12277459433096823</x:v>
      </x:c>
      <x:c r="N55" s="5" t="n">
        <x:f>ABS(L55)</x:f>
        <x:v>1304.2638804988128</x:v>
      </x:c>
      <x:c r="O55" s="6" t="n">
        <x:f>ABS(M55)</x:f>
        <x:v>0.12277459433096823</x:v>
      </x:c>
      <x:c r="P55" s="5" t="n">
        <x:v>11378.653038835691</x:v>
      </x:c>
      <x:c r="Q55" s="5" t="n">
        <x:f>P55-$D55</x:f>
        <x:v>755.4138613324194</x:v>
      </x:c>
      <x:c r="R55" s="6" t="n">
        <x:f>Q55/$D55</x:f>
        <x:v>0.07110955977835384</x:v>
      </x:c>
      <x:c r="S55" s="5" t="n">
        <x:f>ABS(Q55)</x:f>
        <x:v>755.4138613324194</x:v>
      </x:c>
      <x:c r="T55" s="6" t="n">
        <x:f>ABS(R55)</x:f>
        <x:v>0.07110955977835384</x:v>
      </x:c>
    </x:row>
    <x:row r="56">
      <x:c r="A56" s="4"/>
      <x:c r="B56" s="4" t="str">
        <x:v>Ayopaya</x:v>
      </x:c>
      <x:c r="C56" s="5" t="n">
        <x:v>23658</x:v>
      </x:c>
      <x:c r="D56" s="5" t="n">
        <x:v>22261.832966425918</x:v>
      </x:c>
      <x:c r="E56" s="5" t="n">
        <x:v>21815</x:v>
      </x:c>
      <x:c r="F56" s="5" t="n">
        <x:v>22612</x:v>
      </x:c>
      <x:c r="G56" s="5" t="n">
        <x:f>F56-$D56</x:f>
        <x:v>350.16703357408187</x:v>
      </x:c>
      <x:c r="H56" s="6" t="n">
        <x:f>G56/$D56</x:f>
        <x:v>0.01572947897426886</x:v>
      </x:c>
      <x:c r="I56" s="5" t="n">
        <x:f>ABS(G56)</x:f>
        <x:v>350.16703357408187</x:v>
      </x:c>
      <x:c r="J56" s="6" t="n">
        <x:f>ABS(H56)</x:f>
        <x:v>0.01572947897426886</x:v>
      </x:c>
      <x:c r="K56" s="5" t="n">
        <x:v>21466.38424663252</x:v>
      </x:c>
      <x:c r="L56" s="5" t="n">
        <x:f>K56-$D56</x:f>
        <x:v>-795.4487197933995</x:v>
      </x:c>
      <x:c r="M56" s="6" t="n">
        <x:f>L56/$D56</x:f>
        <x:v>-0.03573150157909512</x:v>
      </x:c>
      <x:c r="N56" s="5" t="n">
        <x:f>ABS(L56)</x:f>
        <x:v>795.4487197933995</x:v>
      </x:c>
      <x:c r="O56" s="6" t="n">
        <x:f>ABS(M56)</x:f>
        <x:v>0.03573150157909512</x:v>
      </x:c>
      <x:c r="P56" s="5" t="n">
        <x:v>24740.90330980723</x:v>
      </x:c>
      <x:c r="Q56" s="5" t="n">
        <x:f>P56-$D56</x:f>
        <x:v>2479.0703433813105</x:v>
      </x:c>
      <x:c r="R56" s="6" t="n">
        <x:f>Q56/$D56</x:f>
        <x:v>0.1113596686813754</x:v>
      </x:c>
      <x:c r="S56" s="5" t="n">
        <x:f>ABS(Q56)</x:f>
        <x:v>2479.0703433813105</x:v>
      </x:c>
      <x:c r="T56" s="6" t="n">
        <x:f>ABS(R56)</x:f>
        <x:v>0.1113596686813754</x:v>
      </x:c>
    </x:row>
    <x:row r="57">
      <x:c r="A57" s="4"/>
      <x:c r="B57" s="4" t="str">
        <x:v>Bolívar</x:v>
      </x:c>
      <x:c r="C57" s="5" t="n">
        <x:v>7279</x:v>
      </x:c>
      <x:c r="D57" s="5" t="n">
        <x:v>8018.984046629713</x:v>
      </x:c>
      <x:c r="E57" s="5" t="n">
        <x:v>8282</x:v>
      </x:c>
      <x:c r="F57" s="5" t="n">
        <x:v>6503</x:v>
      </x:c>
      <x:c r="G57" s="5" t="n">
        <x:f>F57-$D57</x:f>
        <x:v>-1515.9840466297128</x:v>
      </x:c>
      <x:c r="H57" s="6" t="n">
        <x:f>G57/$D57</x:f>
        <x:v>-0.18904939052308797</x:v>
      </x:c>
      <x:c r="I57" s="5" t="n">
        <x:f>ABS(G57)</x:f>
        <x:v>1515.9840466297128</x:v>
      </x:c>
      <x:c r="J57" s="6" t="n">
        <x:f>ABS(H57)</x:f>
        <x:v>0.18904939052308797</x:v>
      </x:c>
      <x:c r="K57" s="5" t="n">
        <x:v>9387.82978160818</x:v>
      </x:c>
      <x:c r="L57" s="5" t="n">
        <x:f>K57-$D57</x:f>
        <x:v>1368.8457349784667</x:v>
      </x:c>
      <x:c r="M57" s="6" t="n">
        <x:f>L57/$D57</x:f>
        <x:v>0.1707006432509087</x:v>
      </x:c>
      <x:c r="N57" s="5" t="n">
        <x:f>ABS(L57)</x:f>
        <x:v>1368.8457349784667</x:v>
      </x:c>
      <x:c r="O57" s="6" t="n">
        <x:f>ABS(M57)</x:f>
        <x:v>0.1707006432509087</x:v>
      </x:c>
      <x:c r="P57" s="5" t="n">
        <x:v>7609.785650119982</x:v>
      </x:c>
      <x:c r="Q57" s="5" t="n">
        <x:f>P57-$D57</x:f>
        <x:v>-409.1983965097306</x:v>
      </x:c>
      <x:c r="R57" s="6" t="n">
        <x:f>Q57/$D57</x:f>
        <x:v>-0.051028708141863936</x:v>
      </x:c>
      <x:c r="S57" s="5" t="n">
        <x:f>ABS(Q57)</x:f>
        <x:v>409.1983965097306</x:v>
      </x:c>
      <x:c r="T57" s="6" t="n">
        <x:f>ABS(R57)</x:f>
        <x:v>0.051028708141863936</x:v>
      </x:c>
    </x:row>
    <x:row r="58">
      <x:c r="A58" s="4"/>
      <x:c r="B58" s="4" t="str">
        <x:v>Capinota</x:v>
      </x:c>
      <x:c r="C58" s="5" t="n">
        <x:v>19477</x:v>
      </x:c>
      <x:c r="D58" s="5" t="n">
        <x:v>19439.48795368594</x:v>
      </x:c>
      <x:c r="E58" s="5" t="n">
        <x:v>19427</x:v>
      </x:c>
      <x:c r="F58" s="5" t="n">
        <x:v>21144</x:v>
      </x:c>
      <x:c r="G58" s="5" t="n">
        <x:f>F58-$D58</x:f>
        <x:v>1704.5120463140593</x:v>
      </x:c>
      <x:c r="H58" s="6" t="n">
        <x:f>G58/$D58</x:f>
        <x:v>0.08768297037324303</x:v>
      </x:c>
      <x:c r="I58" s="5" t="n">
        <x:f>ABS(G58)</x:f>
        <x:v>1704.5120463140593</x:v>
      </x:c>
      <x:c r="J58" s="6" t="n">
        <x:f>ABS(H58)</x:f>
        <x:v>0.08768297037324303</x:v>
      </x:c>
      <x:c r="K58" s="5" t="n">
        <x:v>23134.4095062428</x:v>
      </x:c>
      <x:c r="L58" s="5" t="n">
        <x:f>K58-$D58</x:f>
        <x:v>3694.921552556858</x:v>
      </x:c>
      <x:c r="M58" s="6" t="n">
        <x:f>L58/$D58</x:f>
        <x:v>0.19007298758896887</x:v>
      </x:c>
      <x:c r="N58" s="5" t="n">
        <x:f>ABS(L58)</x:f>
        <x:v>3694.921552556858</x:v>
      </x:c>
      <x:c r="O58" s="6" t="n">
        <x:f>ABS(M58)</x:f>
        <x:v>0.19007298758896887</x:v>
      </x:c>
      <x:c r="P58" s="5" t="n">
        <x:v>20491.8894558958</x:v>
      </x:c>
      <x:c r="Q58" s="5" t="n">
        <x:f>P58-$D58</x:f>
        <x:v>1052.401502209861</x:v>
      </x:c>
      <x:c r="R58" s="6" t="n">
        <x:f>Q58/$D58</x:f>
        <x:v>0.05413730571078721</x:v>
      </x:c>
      <x:c r="S58" s="5" t="n">
        <x:f>ABS(Q58)</x:f>
        <x:v>1052.401502209861</x:v>
      </x:c>
      <x:c r="T58" s="6" t="n">
        <x:f>ABS(R58)</x:f>
        <x:v>0.05413730571078721</x:v>
      </x:c>
    </x:row>
    <x:row r="59">
      <x:c r="A59" s="4"/>
      <x:c r="B59" s="4" t="str">
        <x:v>Chimoré</x:v>
      </x:c>
      <x:c r="C59" s="5" t="n">
        <x:v>21736</x:v>
      </x:c>
      <x:c r="D59" s="5" t="n">
        <x:v>25944.366104507862</x:v>
      </x:c>
      <x:c r="E59" s="5" t="n">
        <x:v>27521</x:v>
      </x:c>
      <x:c r="F59" s="5" t="n">
        <x:v>25141</x:v>
      </x:c>
      <x:c r="G59" s="5" t="n">
        <x:f>F59-$D59</x:f>
        <x:v>-803.3661045078625</x:v>
      </x:c>
      <x:c r="H59" s="6" t="n">
        <x:f>G59/$D59</x:f>
        <x:v>-0.030964954058687783</x:v>
      </x:c>
      <x:c r="I59" s="5" t="n">
        <x:f>ABS(G59)</x:f>
        <x:v>803.3661045078625</x:v>
      </x:c>
      <x:c r="J59" s="6" t="n">
        <x:f>ABS(H59)</x:f>
        <x:v>0.030964954058687783</x:v>
      </x:c>
      <x:c r="K59" s="5" t="n">
        <x:v>18610.5860829124</x:v>
      </x:c>
      <x:c r="L59" s="5" t="n">
        <x:f>K59-$D59</x:f>
        <x:v>-7333.780021595463</x:v>
      </x:c>
      <x:c r="M59" s="6" t="n">
        <x:f>L59/$D59</x:f>
        <x:v>-0.28267331689870084</x:v>
      </x:c>
      <x:c r="N59" s="5" t="n">
        <x:f>ABS(L59)</x:f>
        <x:v>7333.780021595463</x:v>
      </x:c>
      <x:c r="O59" s="6" t="n">
        <x:f>ABS(M59)</x:f>
        <x:v>0.28267331689870084</x:v>
      </x:c>
      <x:c r="P59" s="5" t="n">
        <x:v>23187.636941390032</x:v>
      </x:c>
      <x:c r="Q59" s="5" t="n">
        <x:f>P59-$D59</x:f>
        <x:v>-2756.7291631178305</x:v>
      </x:c>
      <x:c r="R59" s="6" t="n">
        <x:f>Q59/$D59</x:f>
        <x:v>-0.10625540635733034</x:v>
      </x:c>
      <x:c r="S59" s="5" t="n">
        <x:f>ABS(Q59)</x:f>
        <x:v>2756.7291631178305</x:v>
      </x:c>
      <x:c r="T59" s="6" t="n">
        <x:f>ABS(R59)</x:f>
        <x:v>0.10625540635733034</x:v>
      </x:c>
    </x:row>
    <x:row r="60">
      <x:c r="A60" s="4"/>
      <x:c r="B60" s="4" t="str">
        <x:v>Cliza</x:v>
      </x:c>
      <x:c r="C60" s="5" t="n">
        <x:v>21899</x:v>
      </x:c>
      <x:c r="D60" s="5" t="n">
        <x:v>21338.596101991712</x:v>
      </x:c>
      <x:c r="E60" s="5" t="n">
        <x:v>21155</x:v>
      </x:c>
      <x:c r="F60" s="5" t="n">
        <x:v>22276</x:v>
      </x:c>
      <x:c r="G60" s="5" t="n">
        <x:f>F60-$D60</x:f>
        <x:v>937.4038980082878</x:v>
      </x:c>
      <x:c r="H60" s="6" t="n">
        <x:f>G60/$D60</x:f>
        <x:v>0.04392997053450915</x:v>
      </x:c>
      <x:c r="I60" s="5" t="n">
        <x:f>ABS(G60)</x:f>
        <x:v>937.4038980082878</x:v>
      </x:c>
      <x:c r="J60" s="6" t="n">
        <x:f>ABS(H60)</x:f>
        <x:v>0.04392997053450915</x:v>
      </x:c>
      <x:c r="K60" s="5" t="n">
        <x:v>26503.832945034177</x:v>
      </x:c>
      <x:c r="L60" s="5" t="n">
        <x:f>K60-$D60</x:f>
        <x:v>5165.236843042465</x:v>
      </x:c>
      <x:c r="M60" s="6" t="n">
        <x:f>L60/$D60</x:f>
        <x:v>0.24206076249600833</x:v>
      </x:c>
      <x:c r="N60" s="5" t="n">
        <x:f>ABS(L60)</x:f>
        <x:v>5165.236843042465</x:v>
      </x:c>
      <x:c r="O60" s="6" t="n">
        <x:f>ABS(M60)</x:f>
        <x:v>0.24206076249600833</x:v>
      </x:c>
      <x:c r="P60" s="5" t="n">
        <x:v>23727.98043154993</x:v>
      </x:c>
      <x:c r="Q60" s="5" t="n">
        <x:f>P60-$D60</x:f>
        <x:v>2389.384329558219</x:v>
      </x:c>
      <x:c r="R60" s="6" t="n">
        <x:f>Q60/$D60</x:f>
        <x:v>0.11197476713733748</x:v>
      </x:c>
      <x:c r="S60" s="5" t="n">
        <x:f>ABS(Q60)</x:f>
        <x:v>2389.384329558219</x:v>
      </x:c>
      <x:c r="T60" s="6" t="n">
        <x:f>ABS(R60)</x:f>
        <x:v>0.11197476713733748</x:v>
      </x:c>
    </x:row>
    <x:row r="61">
      <x:c r="A61" s="4"/>
      <x:c r="B61" s="4" t="str">
        <x:v>Cocapata</x:v>
      </x:c>
      <x:c r="C61" s="5" t="n">
        <x:v>18076</x:v>
      </x:c>
      <x:c r="D61" s="5" t="n">
        <x:v>19213.23774903239</x:v>
      </x:c>
      <x:c r="E61" s="5" t="n">
        <x:v>19608</x:v>
      </x:c>
      <x:c r="F61" s="5" t="n">
        <x:v>17719</x:v>
      </x:c>
      <x:c r="G61" s="5" t="n">
        <x:f>F61-$D61</x:f>
        <x:v>-1494.2377490323888</x:v>
      </x:c>
      <x:c r="H61" s="6" t="n">
        <x:f>G61/$D61</x:f>
        <x:v>-0.07777126211367687</x:v>
      </x:c>
      <x:c r="I61" s="5" t="n">
        <x:f>ABS(G61)</x:f>
        <x:v>1494.2377490323888</x:v>
      </x:c>
      <x:c r="J61" s="6" t="n">
        <x:f>ABS(H61)</x:f>
        <x:v>0.07777126211367687</x:v>
      </x:c>
      <x:c r="K61" s="5" t="n">
        <x:v>32259.213532844027</x:v>
      </x:c>
      <x:c r="L61" s="5" t="n">
        <x:f>K61-$D61</x:f>
        <x:v>13045.975783811638</x:v>
      </x:c>
      <x:c r="M61" s="6" t="n">
        <x:f>L61/$D61</x:f>
        <x:v>0.6790097512049293</x:v>
      </x:c>
      <x:c r="N61" s="5" t="n">
        <x:f>ABS(L61)</x:f>
        <x:v>13045.975783811638</x:v>
      </x:c>
      <x:c r="O61" s="6" t="n">
        <x:f>ABS(M61)</x:f>
        <x:v>0.6790097512049293</x:v>
      </x:c>
      <x:c r="P61" s="5" t="n">
        <x:v>17619.963257204276</x:v>
      </x:c>
      <x:c r="Q61" s="5" t="n">
        <x:f>P61-$D61</x:f>
        <x:v>-1593.2744918281132</x:v>
      </x:c>
      <x:c r="R61" s="6" t="n">
        <x:f>Q61/$D61</x:f>
        <x:v>-0.0829258718722904</x:v>
      </x:c>
      <x:c r="S61" s="5" t="n">
        <x:f>ABS(Q61)</x:f>
        <x:v>1593.2744918281132</x:v>
      </x:c>
      <x:c r="T61" s="6" t="n">
        <x:f>ABS(R61)</x:f>
        <x:v>0.0829258718722904</x:v>
      </x:c>
    </x:row>
    <x:row r="62">
      <x:c r="A62" s="4"/>
      <x:c r="B62" s="4" t="str">
        <x:v>Cochabamba</x:v>
      </x:c>
      <x:c r="C62" s="5" t="n">
        <x:v>632013</x:v>
      </x:c>
      <x:c r="D62" s="5" t="n">
        <x:v>656969.1779756678</x:v>
      </x:c>
      <x:c r="E62" s="5" t="n">
        <x:v>665505</x:v>
      </x:c>
      <x:c r="F62" s="5" t="n">
        <x:v>841276</x:v>
      </x:c>
      <x:c r="G62" s="5" t="n">
        <x:f>F62-$D62</x:f>
        <x:v>184306.82202433224</x:v>
      </x:c>
      <x:c r="H62" s="6" t="n">
        <x:f>G62/$D62</x:f>
        <x:v>0.2805410485043462</x:v>
      </x:c>
      <x:c r="I62" s="5" t="n">
        <x:f>ABS(G62)</x:f>
        <x:v>184306.82202433224</x:v>
      </x:c>
      <x:c r="J62" s="6" t="n">
        <x:f>ABS(H62)</x:f>
        <x:v>0.2805410485043462</x:v>
      </x:c>
      <x:c r="K62" s="5" t="n">
        <x:v>755955.8434088483</x:v>
      </x:c>
      <x:c r="L62" s="5" t="n">
        <x:f>K62-$D62</x:f>
        <x:v>98986.66543318052</x:v>
      </x:c>
      <x:c r="M62" s="6" t="n">
        <x:f>L62/$D62</x:f>
        <x:v>0.150671703866215</x:v>
      </x:c>
      <x:c r="N62" s="5" t="n">
        <x:f>ABS(L62)</x:f>
        <x:v>98986.66543318052</x:v>
      </x:c>
      <x:c r="O62" s="6" t="n">
        <x:f>ABS(M62)</x:f>
        <x:v>0.150671703866215</x:v>
      </x:c>
      <x:c r="P62" s="5" t="n">
        <x:v>664324.3601905811</x:v>
      </x:c>
      <x:c r="Q62" s="5" t="n">
        <x:f>P62-$D62</x:f>
        <x:v>7355.182214913308</x:v>
      </x:c>
      <x:c r="R62" s="6" t="n">
        <x:f>Q62/$D62</x:f>
        <x:v>0.011195627529402487</x:v>
      </x:c>
      <x:c r="S62" s="5" t="n">
        <x:f>ABS(Q62)</x:f>
        <x:v>7355.182214913308</x:v>
      </x:c>
      <x:c r="T62" s="6" t="n">
        <x:f>ABS(R62)</x:f>
        <x:v>0.011195627529402487</x:v>
      </x:c>
    </x:row>
    <x:row r="63">
      <x:c r="A63" s="4"/>
      <x:c r="B63" s="4" t="str">
        <x:v>Colcapirhua</x:v>
      </x:c>
      <x:c r="C63" s="5" t="n">
        <x:v>51990</x:v>
      </x:c>
      <x:c r="D63" s="5" t="n">
        <x:v>62534.64340781008</x:v>
      </x:c>
      <x:c r="E63" s="5" t="n">
        <x:v>66505</x:v>
      </x:c>
      <x:c r="F63" s="5" t="n">
        <x:v>52847</x:v>
      </x:c>
      <x:c r="G63" s="5" t="n">
        <x:f>F63-$D63</x:f>
        <x:v>-9687.64340781008</x:v>
      </x:c>
      <x:c r="H63" s="6" t="n">
        <x:f>G63/$D63</x:f>
        <x:v>-0.1549164251986471</x:v>
      </x:c>
      <x:c r="I63" s="5" t="n">
        <x:f>ABS(G63)</x:f>
        <x:v>9687.64340781008</x:v>
      </x:c>
      <x:c r="J63" s="6" t="n">
        <x:f>ABS(H63)</x:f>
        <x:v>0.1549164251986471</x:v>
      </x:c>
      <x:c r="K63" s="5" t="n">
        <x:v>60699.29046242052</x:v>
      </x:c>
      <x:c r="L63" s="5" t="n">
        <x:f>K63-$D63</x:f>
        <x:v>-1835.3529453895608</x:v>
      </x:c>
      <x:c r="M63" s="6" t="n">
        <x:f>L63/$D63</x:f>
        <x:v>-0.029349378926183174</x:v>
      </x:c>
      <x:c r="N63" s="5" t="n">
        <x:f>ABS(L63)</x:f>
        <x:v>1835.3529453895608</x:v>
      </x:c>
      <x:c r="O63" s="6" t="n">
        <x:f>ABS(M63)</x:f>
        <x:v>0.029349378926183174</x:v>
      </x:c>
      <x:c r="P63" s="5" t="n">
        <x:v>53537.472457742726</x:v>
      </x:c>
      <x:c r="Q63" s="5" t="n">
        <x:f>P63-$D63</x:f>
        <x:v>-8997.170950067353</x:v>
      </x:c>
      <x:c r="R63" s="6" t="n">
        <x:f>Q63/$D63</x:f>
        <x:v>-0.14387498608401242</x:v>
      </x:c>
      <x:c r="S63" s="5" t="n">
        <x:f>ABS(Q63)</x:f>
        <x:v>8997.170950067353</x:v>
      </x:c>
      <x:c r="T63" s="6" t="n">
        <x:f>ABS(R63)</x:f>
        <x:v>0.14387498608401242</x:v>
      </x:c>
    </x:row>
    <x:row r="64">
      <x:c r="A64" s="4"/>
      <x:c r="B64" s="4" t="str">
        <x:v>Colomi</x:v>
      </x:c>
      <x:c r="C64" s="5" t="n">
        <x:v>19285</x:v>
      </x:c>
      <x:c r="D64" s="5" t="n">
        <x:v>21175.50897250243</x:v>
      </x:c>
      <x:c r="E64" s="5" t="n">
        <x:v>21846</x:v>
      </x:c>
      <x:c r="F64" s="5" t="n">
        <x:v>20918</x:v>
      </x:c>
      <x:c r="G64" s="5" t="n">
        <x:f>F64-$D64</x:f>
        <x:v>-257.50897250242997</x:v>
      </x:c>
      <x:c r="H64" s="6" t="n">
        <x:f>G64/$D64</x:f>
        <x:v>-0.012160698136551032</x:v>
      </x:c>
      <x:c r="I64" s="5" t="n">
        <x:f>ABS(G64)</x:f>
        <x:v>257.50897250242997</x:v>
      </x:c>
      <x:c r="J64" s="6" t="n">
        <x:f>ABS(H64)</x:f>
        <x:v>0.012160698136551032</x:v>
      </x:c>
      <x:c r="K64" s="5" t="n">
        <x:v>19694.610088639303</x:v>
      </x:c>
      <x:c r="L64" s="5" t="n">
        <x:f>K64-$D64</x:f>
        <x:v>-1480.8988838631267</x:v>
      </x:c>
      <x:c r="M64" s="6" t="n">
        <x:f>L64/$D64</x:f>
        <x:v>-0.06993451188286222</x:v>
      </x:c>
      <x:c r="N64" s="5" t="n">
        <x:f>ABS(L64)</x:f>
        <x:v>1480.8988838631267</x:v>
      </x:c>
      <x:c r="O64" s="6" t="n">
        <x:f>ABS(M64)</x:f>
        <x:v>0.06993451188286222</x:v>
      </x:c>
      <x:c r="P64" s="5" t="n">
        <x:v>17505.721562462983</x:v>
      </x:c>
      <x:c r="Q64" s="5" t="n">
        <x:f>P64-$D64</x:f>
        <x:v>-3669.7874100394474</x:v>
      </x:c>
      <x:c r="R64" s="6" t="n">
        <x:f>Q64/$D64</x:f>
        <x:v>-0.17330338622815958</x:v>
      </x:c>
      <x:c r="S64" s="5" t="n">
        <x:f>ABS(Q64)</x:f>
        <x:v>3669.7874100394474</x:v>
      </x:c>
      <x:c r="T64" s="6" t="n">
        <x:f>ABS(R64)</x:f>
        <x:v>0.17330338622815958</x:v>
      </x:c>
    </x:row>
    <x:row r="65">
      <x:c r="A65" s="4"/>
      <x:c r="B65" s="4" t="str">
        <x:v>Entre Ríos</x:v>
      </x:c>
      <x:c r="C65" s="5" t="n">
        <x:v>31550</x:v>
      </x:c>
      <x:c r="D65" s="5" t="n">
        <x:v>41711.583964458434</x:v>
      </x:c>
      <x:c r="E65" s="5" t="n">
        <x:v>45780</x:v>
      </x:c>
      <x:c r="F65" s="5" t="n">
        <x:v>37718</x:v>
      </x:c>
      <x:c r="G65" s="5" t="n">
        <x:f>F65-$D65</x:f>
        <x:v>-3993.583964458434</x:v>
      </x:c>
      <x:c r="H65" s="6" t="n">
        <x:f>G65/$D65</x:f>
        <x:v>-0.09574280295520024</x:v>
      </x:c>
      <x:c r="I65" s="5" t="n">
        <x:f>ABS(G65)</x:f>
        <x:v>3993.583964458434</x:v>
      </x:c>
      <x:c r="J65" s="6" t="n">
        <x:f>ABS(H65)</x:f>
        <x:v>0.09574280295520024</x:v>
      </x:c>
      <x:c r="K65" s="5" t="n">
        <x:v>43313.91611822575</x:v>
      </x:c>
      <x:c r="L65" s="5" t="n">
        <x:f>K65-$D65</x:f>
        <x:v>1602.3321537673182</x:v>
      </x:c>
      <x:c r="M65" s="6" t="n">
        <x:f>L65/$D65</x:f>
        <x:v>0.038414560212640975</x:v>
      </x:c>
      <x:c r="N65" s="5" t="n">
        <x:f>ABS(L65)</x:f>
        <x:v>1602.3321537673182</x:v>
      </x:c>
      <x:c r="O65" s="6" t="n">
        <x:f>ABS(M65)</x:f>
        <x:v>0.038414560212640975</x:v>
      </x:c>
      <x:c r="P65" s="5" t="n">
        <x:v>34796.52192703593</x:v>
      </x:c>
      <x:c r="Q65" s="5" t="n">
        <x:f>P65-$D65</x:f>
        <x:v>-6915.062037422504</x:v>
      </x:c>
      <x:c r="R65" s="6" t="n">
        <x:f>Q65/$D65</x:f>
        <x:v>-0.16578277255821028</x:v>
      </x:c>
      <x:c r="S65" s="5" t="n">
        <x:f>ABS(Q65)</x:f>
        <x:v>6915.062037422504</x:v>
      </x:c>
      <x:c r="T65" s="6" t="n">
        <x:f>ABS(R65)</x:f>
        <x:v>0.16578277255821028</x:v>
      </x:c>
    </x:row>
    <x:row r="66">
      <x:c r="A66" s="4"/>
      <x:c r="B66" s="4" t="str">
        <x:v>Mizque</x:v>
      </x:c>
      <x:c r="C66" s="5" t="n">
        <x:v>26900</x:v>
      </x:c>
      <x:c r="D66" s="5" t="n">
        <x:v>27685.2044938149</x:v>
      </x:c>
      <x:c r="E66" s="5" t="n">
        <x:v>27952</x:v>
      </x:c>
      <x:c r="F66" s="5" t="n">
        <x:v>28417</x:v>
      </x:c>
      <x:c r="G66" s="5" t="n">
        <x:f>F66-$D66</x:f>
        <x:v>731.7955061850989</x:v>
      </x:c>
      <x:c r="H66" s="6" t="n">
        <x:f>G66/$D66</x:f>
        <x:v>0.02643272894547656</x:v>
      </x:c>
      <x:c r="I66" s="5" t="n">
        <x:f>ABS(G66)</x:f>
        <x:v>731.7955061850989</x:v>
      </x:c>
      <x:c r="J66" s="6" t="n">
        <x:f>ABS(H66)</x:f>
        <x:v>0.02643272894547656</x:v>
      </x:c>
      <x:c r="K66" s="5" t="n">
        <x:v>31506.332756063246</x:v>
      </x:c>
      <x:c r="L66" s="5" t="n">
        <x:f>K66-$D66</x:f>
        <x:v>3821.128262248345</x:v>
      </x:c>
      <x:c r="M66" s="6" t="n">
        <x:f>L66/$D66</x:f>
        <x:v>0.13802059013513937</x:v>
      </x:c>
      <x:c r="N66" s="5" t="n">
        <x:f>ABS(L66)</x:f>
        <x:v>3821.128262248345</x:v>
      </x:c>
      <x:c r="O66" s="6" t="n">
        <x:f>ABS(M66)</x:f>
        <x:v>0.13802059013513937</x:v>
      </x:c>
      <x:c r="P66" s="5" t="n">
        <x:v>28242.915385850494</x:v>
      </x:c>
      <x:c r="Q66" s="5" t="n">
        <x:f>P66-$D66</x:f>
        <x:v>557.7108920355931</x:v>
      </x:c>
      <x:c r="R66" s="6" t="n">
        <x:f>Q66/$D66</x:f>
        <x:v>0.020144727201136994</x:v>
      </x:c>
      <x:c r="S66" s="5" t="n">
        <x:f>ABS(Q66)</x:f>
        <x:v>557.7108920355931</x:v>
      </x:c>
      <x:c r="T66" s="6" t="n">
        <x:f>ABS(R66)</x:f>
        <x:v>0.020144727201136994</x:v>
      </x:c>
    </x:row>
    <x:row r="67">
      <x:c r="A67" s="4"/>
      <x:c r="B67" s="4" t="str">
        <x:v>Morochata</x:v>
      </x:c>
      <x:c r="C67" s="5" t="n">
        <x:v>12797</x:v>
      </x:c>
      <x:c r="D67" s="5" t="n">
        <x:v>14213.724715646222</x:v>
      </x:c>
      <x:c r="E67" s="5" t="n">
        <x:v>14720</x:v>
      </x:c>
      <x:c r="F67" s="5" t="n">
        <x:v>10701</x:v>
      </x:c>
      <x:c r="G67" s="5" t="n">
        <x:f>F67-$D67</x:f>
        <x:v>-3512.7247156462217</x:v>
      </x:c>
      <x:c r="H67" s="6" t="n">
        <x:f>G67/$D67</x:f>
        <x:v>-0.2471361156853893</x:v>
      </x:c>
      <x:c r="I67" s="5" t="n">
        <x:f>ABS(G67)</x:f>
        <x:v>3512.7247156462217</x:v>
      </x:c>
      <x:c r="J67" s="6" t="n">
        <x:f>ABS(H67)</x:f>
        <x:v>0.2471361156853893</x:v>
      </x:c>
      <x:c r="K67" s="5" t="n">
        <x:v>8274.195326993684</x:v>
      </x:c>
      <x:c r="L67" s="5" t="n">
        <x:f>K67-$D67</x:f>
        <x:v>-5939.529388652538</x:v>
      </x:c>
      <x:c r="M67" s="6" t="n">
        <x:f>L67/$D67</x:f>
        <x:v>-0.4178728311879016</x:v>
      </x:c>
      <x:c r="N67" s="5" t="n">
        <x:f>ABS(L67)</x:f>
        <x:v>5939.529388652538</x:v>
      </x:c>
      <x:c r="O67" s="6" t="n">
        <x:f>ABS(M67)</x:f>
        <x:v>0.4178728311879016</x:v>
      </x:c>
      <x:c r="P67" s="5" t="n">
        <x:v>14054.733782400384</x:v>
      </x:c>
      <x:c r="Q67" s="5" t="n">
        <x:f>P67-$D67</x:f>
        <x:v>-158.99093324583737</x:v>
      </x:c>
      <x:c r="R67" s="6" t="n">
        <x:f>Q67/$D67</x:f>
        <x:v>-0.011185733256169152</x:v>
      </x:c>
      <x:c r="S67" s="5" t="n">
        <x:f>ABS(Q67)</x:f>
        <x:v>158.99093324583737</x:v>
      </x:c>
      <x:c r="T67" s="6" t="n">
        <x:f>ABS(R67)</x:f>
        <x:v>0.011185733256169152</x:v>
      </x:c>
    </x:row>
    <x:row r="68">
      <x:c r="A68" s="4"/>
      <x:c r="B68" s="4" t="str">
        <x:v>Omereque</x:v>
      </x:c>
      <x:c r="C68" s="5" t="n">
        <x:v>5643</x:v>
      </x:c>
      <x:c r="D68" s="5" t="n">
        <x:v>6418.50102055183</x:v>
      </x:c>
      <x:c r="E68" s="5" t="n">
        <x:v>6700</x:v>
      </x:c>
      <x:c r="F68" s="5" t="n">
        <x:v>4559</x:v>
      </x:c>
      <x:c r="G68" s="5" t="n">
        <x:f>F68-$D68</x:f>
        <x:v>-1859.5010205518302</x:v>
      </x:c>
      <x:c r="H68" s="6" t="n">
        <x:f>G68/$D68</x:f>
        <x:v>-0.2897095466056278</x:v>
      </x:c>
      <x:c r="I68" s="5" t="n">
        <x:f>ABS(G68)</x:f>
        <x:v>1859.5010205518302</x:v>
      </x:c>
      <x:c r="J68" s="6" t="n">
        <x:f>ABS(H68)</x:f>
        <x:v>0.2897095466056278</x:v>
      </x:c>
      <x:c r="K68" s="5" t="n">
        <x:v>7621.33919721289</x:v>
      </x:c>
      <x:c r="L68" s="5" t="n">
        <x:f>K68-$D68</x:f>
        <x:v>1202.83817666106</x:v>
      </x:c>
      <x:c r="M68" s="6" t="n">
        <x:f>L68/$D68</x:f>
        <x:v>0.18740172710257608</x:v>
      </x:c>
      <x:c r="N68" s="5" t="n">
        <x:f>ABS(L68)</x:f>
        <x:v>1202.83817666106</x:v>
      </x:c>
      <x:c r="O68" s="6" t="n">
        <x:f>ABS(M68)</x:f>
        <x:v>0.18740172710257608</x:v>
      </x:c>
      <x:c r="P68" s="5" t="n">
        <x:v>5972.032687288745</x:v>
      </x:c>
      <x:c r="Q68" s="5" t="n">
        <x:f>P68-$D68</x:f>
        <x:v>-446.4683332630848</x:v>
      </x:c>
      <x:c r="R68" s="6" t="n">
        <x:f>Q68/$D68</x:f>
        <x:v>-0.06955959527520644</x:v>
      </x:c>
      <x:c r="S68" s="5" t="n">
        <x:f>ABS(Q68)</x:f>
        <x:v>446.4683332630848</x:v>
      </x:c>
      <x:c r="T68" s="6" t="n">
        <x:f>ABS(R68)</x:f>
        <x:v>0.06955959527520644</x:v>
      </x:c>
    </x:row>
    <x:row r="69">
      <x:c r="A69" s="4"/>
      <x:c r="B69" s="4" t="str">
        <x:v>Pasorapa</x:v>
      </x:c>
      <x:c r="C69" s="5" t="n">
        <x:v>6853</x:v>
      </x:c>
      <x:c r="D69" s="5" t="n">
        <x:v>6567.498957491977</x:v>
      </x:c>
      <x:c r="E69" s="5" t="n">
        <x:v>6475</x:v>
      </x:c>
      <x:c r="F69" s="5" t="n">
        <x:v>2819</x:v>
      </x:c>
      <x:c r="G69" s="5" t="n">
        <x:f>F69-$D69</x:f>
        <x:v>-3748.4989574919773</x:v>
      </x:c>
      <x:c r="H69" s="6" t="n">
        <x:f>G69/$D69</x:f>
        <x:v>-0.570765063192864</x:v>
      </x:c>
      <x:c r="I69" s="5" t="n">
        <x:f>ABS(G69)</x:f>
        <x:v>3748.4989574919773</x:v>
      </x:c>
      <x:c r="J69" s="6" t="n">
        <x:f>ABS(H69)</x:f>
        <x:v>0.570765063192864</x:v>
      </x:c>
      <x:c r="K69" s="5" t="n">
        <x:v>10740.727138859686</x:v>
      </x:c>
      <x:c r="L69" s="5" t="n">
        <x:f>K69-$D69</x:f>
        <x:v>4173.228181367708</x:v>
      </x:c>
      <x:c r="M69" s="6" t="n">
        <x:f>L69/$D69</x:f>
        <x:v>0.6354364436719145</x:v>
      </x:c>
      <x:c r="N69" s="5" t="n">
        <x:f>ABS(L69)</x:f>
        <x:v>4173.228181367708</x:v>
      </x:c>
      <x:c r="O69" s="6" t="n">
        <x:f>ABS(M69)</x:f>
        <x:v>0.6354364436719145</x:v>
      </x:c>
      <x:c r="P69" s="5" t="n">
        <x:v>6846.516478424746</x:v>
      </x:c>
      <x:c r="Q69" s="5" t="n">
        <x:f>P69-$D69</x:f>
        <x:v>279.017520932769</x:v>
      </x:c>
      <x:c r="R69" s="6" t="n">
        <x:f>Q69/$D69</x:f>
        <x:v>0.04248459310594566</x:v>
      </x:c>
      <x:c r="S69" s="5" t="n">
        <x:f>ABS(Q69)</x:f>
        <x:v>279.017520932769</x:v>
      </x:c>
      <x:c r="T69" s="6" t="n">
        <x:f>ABS(R69)</x:f>
        <x:v>0.04248459310594566</x:v>
      </x:c>
    </x:row>
    <x:row r="70">
      <x:c r="A70" s="4"/>
      <x:c r="B70" s="4" t="str">
        <x:v>Pocona</x:v>
      </x:c>
      <x:c r="C70" s="5" t="n">
        <x:v>10750</x:v>
      </x:c>
      <x:c r="D70" s="5" t="n">
        <x:v>11862.243339855002</x:v>
      </x:c>
      <x:c r="E70" s="5" t="n">
        <x:v>12258</x:v>
      </x:c>
      <x:c r="F70" s="5" t="n">
        <x:v>9433</x:v>
      </x:c>
      <x:c r="G70" s="5" t="n">
        <x:f>F70-$D70</x:f>
        <x:v>-2429.243339855002</x:v>
      </x:c>
      <x:c r="H70" s="6" t="n">
        <x:f>G70/$D70</x:f>
        <x:v>-0.20478785253824475</x:v>
      </x:c>
      <x:c r="I70" s="5" t="n">
        <x:f>ABS(G70)</x:f>
        <x:v>2429.243339855002</x:v>
      </x:c>
      <x:c r="J70" s="6" t="n">
        <x:f>ABS(H70)</x:f>
        <x:v>0.20478785253824475</x:v>
      </x:c>
      <x:c r="K70" s="5" t="n">
        <x:v>20934.54167965617</x:v>
      </x:c>
      <x:c r="L70" s="5" t="n">
        <x:f>K70-$D70</x:f>
        <x:v>9072.298339801167</x:v>
      </x:c>
      <x:c r="M70" s="6" t="n">
        <x:f>L70/$D70</x:f>
        <x:v>0.7648046056617198</x:v>
      </x:c>
      <x:c r="N70" s="5" t="n">
        <x:f>ABS(L70)</x:f>
        <x:v>9072.298339801167</x:v>
      </x:c>
      <x:c r="O70" s="6" t="n">
        <x:f>ABS(M70)</x:f>
        <x:v>0.7648046056617198</x:v>
      </x:c>
      <x:c r="P70" s="5" t="n">
        <x:v>11830.249091482614</x:v>
      </x:c>
      <x:c r="Q70" s="5" t="n">
        <x:f>P70-$D70</x:f>
        <x:v>-31.99424837238803</x:v>
      </x:c>
      <x:c r="R70" s="6" t="n">
        <x:f>Q70/$D70</x:f>
        <x:v>-0.0026971498944801707</x:v>
      </x:c>
      <x:c r="S70" s="5" t="n">
        <x:f>ABS(Q70)</x:f>
        <x:v>31.99424837238803</x:v>
      </x:c>
      <x:c r="T70" s="6" t="n">
        <x:f>ABS(R70)</x:f>
        <x:v>0.0026971498944801707</x:v>
      </x:c>
    </x:row>
    <x:row r="71">
      <x:c r="A71" s="4"/>
      <x:c r="B71" s="4" t="str">
        <x:v>Pojo</x:v>
      </x:c>
      <x:c r="C71" s="5" t="n">
        <x:v>10156</x:v>
      </x:c>
      <x:c r="D71" s="5" t="n">
        <x:v>11412.518116848176</x:v>
      </x:c>
      <x:c r="E71" s="5" t="n">
        <x:v>11865</x:v>
      </x:c>
      <x:c r="F71" s="5" t="n">
        <x:v>10195</x:v>
      </x:c>
      <x:c r="G71" s="5" t="n">
        <x:f>F71-$D71</x:f>
        <x:v>-1217.5181168481759</x:v>
      </x:c>
      <x:c r="H71" s="6" t="n">
        <x:f>G71/$D71</x:f>
        <x:v>-0.10668268863913277</x:v>
      </x:c>
      <x:c r="I71" s="5" t="n">
        <x:f>ABS(G71)</x:f>
        <x:v>1217.5181168481759</x:v>
      </x:c>
      <x:c r="J71" s="6" t="n">
        <x:f>ABS(H71)</x:f>
        <x:v>0.10668268863913277</x:v>
      </x:c>
      <x:c r="K71" s="5" t="n">
        <x:v>16745.833020830647</x:v>
      </x:c>
      <x:c r="L71" s="5" t="n">
        <x:f>K71-$D71</x:f>
        <x:v>5333.314903982471</x:v>
      </x:c>
      <x:c r="M71" s="6" t="n">
        <x:f>L71/$D71</x:f>
        <x:v>0.4673214841261857</x:v>
      </x:c>
      <x:c r="N71" s="5" t="n">
        <x:f>ABS(L71)</x:f>
        <x:v>5333.314903982471</x:v>
      </x:c>
      <x:c r="O71" s="6" t="n">
        <x:f>ABS(M71)</x:f>
        <x:v>0.4673214841261857</x:v>
      </x:c>
      <x:c r="P71" s="5" t="n">
        <x:v>10877.362465368216</x:v>
      </x:c>
      <x:c r="Q71" s="5" t="n">
        <x:f>P71-$D71</x:f>
        <x:v>-535.1556514799595</x:v>
      </x:c>
      <x:c r="R71" s="6" t="n">
        <x:f>Q71/$D71</x:f>
        <x:v>-0.046891987026939745</x:v>
      </x:c>
      <x:c r="S71" s="5" t="n">
        <x:f>ABS(Q71)</x:f>
        <x:v>535.1556514799595</x:v>
      </x:c>
      <x:c r="T71" s="6" t="n">
        <x:f>ABS(R71)</x:f>
        <x:v>0.046891987026939745</x:v>
      </x:c>
    </x:row>
    <x:row r="72">
      <x:c r="A72" s="4"/>
      <x:c r="B72" s="4" t="str">
        <x:v>Puerto Villarroel</x:v>
      </x:c>
      <x:c r="C72" s="5" t="n">
        <x:v>46627</x:v>
      </x:c>
      <x:c r="D72" s="5" t="n">
        <x:v>59539.96093243439</x:v>
      </x:c>
      <x:c r="E72" s="5" t="n">
        <x:v>64595</x:v>
      </x:c>
      <x:c r="F72" s="5" t="n">
        <x:v>61769</x:v>
      </x:c>
      <x:c r="G72" s="5" t="n">
        <x:f>F72-$D72</x:f>
        <x:v>2229.039067565609</x:v>
      </x:c>
      <x:c r="H72" s="6" t="n">
        <x:f>G72/$D72</x:f>
        <x:v>0.03743769785296147</x:v>
      </x:c>
      <x:c r="I72" s="5" t="n">
        <x:f>ABS(G72)</x:f>
        <x:v>2229.039067565609</x:v>
      </x:c>
      <x:c r="J72" s="6" t="n">
        <x:f>ABS(H72)</x:f>
        <x:v>0.03743769785296147</x:v>
      </x:c>
      <x:c r="K72" s="5" t="n">
        <x:v>26684.099516897924</x:v>
      </x:c>
      <x:c r="L72" s="5" t="n">
        <x:f>K72-$D72</x:f>
        <x:v>-32855.86141553646</x:v>
      </x:c>
      <x:c r="M72" s="6" t="n">
        <x:f>L72/$D72</x:f>
        <x:v>-0.5518287365492414</x:v>
      </x:c>
      <x:c r="N72" s="5" t="n">
        <x:f>ABS(L72)</x:f>
        <x:v>32855.86141553646</x:v>
      </x:c>
      <x:c r="O72" s="6" t="n">
        <x:f>ABS(M72)</x:f>
        <x:v>0.5518287365492414</x:v>
      </x:c>
      <x:c r="P72" s="5" t="n">
        <x:v>47217.50792723427</x:v>
      </x:c>
      <x:c r="Q72" s="5" t="n">
        <x:f>P72-$D72</x:f>
        <x:v>-12322.453005200121</x:v>
      </x:c>
      <x:c r="R72" s="6" t="n">
        <x:f>Q72/$D72</x:f>
        <x:v>-0.2069610529167725</x:v>
      </x:c>
      <x:c r="S72" s="5" t="n">
        <x:f>ABS(Q72)</x:f>
        <x:v>12322.453005200121</x:v>
      </x:c>
      <x:c r="T72" s="6" t="n">
        <x:f>ABS(R72)</x:f>
        <x:v>0.2069610529167725</x:v>
      </x:c>
    </x:row>
    <x:row r="73">
      <x:c r="A73" s="4"/>
      <x:c r="B73" s="4" t="str">
        <x:v>Punata</x:v>
      </x:c>
      <x:c r="C73" s="5" t="n">
        <x:v>28887</x:v>
      </x:c>
      <x:c r="D73" s="5" t="n">
        <x:v>33537.174470668266</x:v>
      </x:c>
      <x:c r="E73" s="5" t="n">
        <x:v>35248</x:v>
      </x:c>
      <x:c r="F73" s="5" t="n">
        <x:v>44834</x:v>
      </x:c>
      <x:c r="G73" s="5" t="n">
        <x:f>F73-$D73</x:f>
        <x:v>11296.825529331734</x:v>
      </x:c>
      <x:c r="H73" s="6" t="n">
        <x:f>G73/$D73</x:f>
        <x:v>0.33684488057310785</x:v>
      </x:c>
      <x:c r="I73" s="5" t="n">
        <x:f>ABS(G73)</x:f>
        <x:v>11296.825529331734</x:v>
      </x:c>
      <x:c r="J73" s="6" t="n">
        <x:f>ABS(H73)</x:f>
        <x:v>0.33684488057310785</x:v>
      </x:c>
      <x:c r="K73" s="5" t="n">
        <x:v>33064.09896091356</x:v>
      </x:c>
      <x:c r="L73" s="5" t="n">
        <x:f>K73-$D73</x:f>
        <x:v>-473.07550975470804</x:v>
      </x:c>
      <x:c r="M73" s="6" t="n">
        <x:f>L73/$D73</x:f>
        <x:v>-0.014106003777046322</x:v>
      </x:c>
      <x:c r="N73" s="5" t="n">
        <x:f>ABS(L73)</x:f>
        <x:v>473.07550975470804</x:v>
      </x:c>
      <x:c r="O73" s="6" t="n">
        <x:f>ABS(M73)</x:f>
        <x:v>0.014106003777046322</x:v>
      </x:c>
      <x:c r="P73" s="5" t="n">
        <x:v>29601.889427218764</x:v>
      </x:c>
      <x:c r="Q73" s="5" t="n">
        <x:f>P73-$D73</x:f>
        <x:v>-3935.2850434495012</x:v>
      </x:c>
      <x:c r="R73" s="6" t="n">
        <x:f>Q73/$D73</x:f>
        <x:v>-0.11734098371618383</x:v>
      </x:c>
      <x:c r="S73" s="5" t="n">
        <x:f>ABS(Q73)</x:f>
        <x:v>3935.2850434495012</x:v>
      </x:c>
      <x:c r="T73" s="6" t="n">
        <x:f>ABS(R73)</x:f>
        <x:v>0.11734098371618383</x:v>
      </x:c>
    </x:row>
    <x:row r="74">
      <x:c r="A74" s="4"/>
      <x:c r="B74" s="4" t="str">
        <x:v>Quillacollo</x:v>
      </x:c>
      <x:c r="C74" s="5" t="n">
        <x:v>137182</x:v>
      </x:c>
      <x:c r="D74" s="5" t="n">
        <x:v>158802.04246199006</x:v>
      </x:c>
      <x:c r="E74" s="5" t="n">
        <x:v>166741</x:v>
      </x:c>
      <x:c r="F74" s="5" t="n">
        <x:v>178692</x:v>
      </x:c>
      <x:c r="G74" s="5" t="n">
        <x:f>F74-$D74</x:f>
        <x:v>19889.95753800994</x:v>
      </x:c>
      <x:c r="H74" s="6" t="n">
        <x:f>G74/$D74</x:f>
        <x:v>0.12525001082886378</x:v>
      </x:c>
      <x:c r="I74" s="5" t="n">
        <x:f>ABS(G74)</x:f>
        <x:v>19889.95753800994</x:v>
      </x:c>
      <x:c r="J74" s="6" t="n">
        <x:f>ABS(H74)</x:f>
        <x:v>0.12525001082886378</x:v>
      </x:c>
      <x:c r="K74" s="5" t="n">
        <x:v>147691.178099336</x:v>
      </x:c>
      <x:c r="L74" s="5" t="n">
        <x:f>K74-$D74</x:f>
        <x:v>-11110.864362654072</x:v>
      </x:c>
      <x:c r="M74" s="6" t="n">
        <x:f>L74/$D74</x:f>
        <x:v>-0.06996675981238405</x:v>
      </x:c>
      <x:c r="N74" s="5" t="n">
        <x:f>ABS(L74)</x:f>
        <x:v>11110.864362654072</x:v>
      </x:c>
      <x:c r="O74" s="6" t="n">
        <x:f>ABS(M74)</x:f>
        <x:v>0.06996675981238405</x:v>
      </x:c>
      <x:c r="P74" s="5" t="n">
        <x:v>146517.3094334459</x:v>
      </x:c>
      <x:c r="Q74" s="5" t="n">
        <x:f>P74-$D74</x:f>
        <x:v>-12284.733028544171</x:v>
      </x:c>
      <x:c r="R74" s="6" t="n">
        <x:f>Q74/$D74</x:f>
        <x:v>-0.07735878479953792</x:v>
      </x:c>
      <x:c r="S74" s="5" t="n">
        <x:f>ABS(Q74)</x:f>
        <x:v>12284.733028544171</x:v>
      </x:c>
      <x:c r="T74" s="6" t="n">
        <x:f>ABS(R74)</x:f>
        <x:v>0.07735878479953792</x:v>
      </x:c>
    </x:row>
    <x:row r="75">
      <x:c r="A75" s="4"/>
      <x:c r="B75" s="4" t="str">
        <x:v>Sacaba</x:v>
      </x:c>
      <x:c r="C75" s="5" t="n">
        <x:v>172466</x:v>
      </x:c>
      <x:c r="D75" s="5" t="n">
        <x:v>206369.61912140835</x:v>
      </x:c>
      <x:c r="E75" s="5" t="n">
        <x:v>219092</x:v>
      </x:c>
      <x:c r="F75" s="5" t="n">
        <x:v>182682</x:v>
      </x:c>
      <x:c r="G75" s="5" t="n">
        <x:f>F75-$D75</x:f>
        <x:v>-23687.619121408352</x:v>
      </x:c>
      <x:c r="H75" s="6" t="n">
        <x:f>G75/$D75</x:f>
        <x:v>-0.11478249183312587</x:v>
      </x:c>
      <x:c r="I75" s="5" t="n">
        <x:f>ABS(G75)</x:f>
        <x:v>23687.619121408352</x:v>
      </x:c>
      <x:c r="J75" s="6" t="n">
        <x:f>ABS(H75)</x:f>
        <x:v>0.11478249183312587</x:v>
      </x:c>
      <x:c r="K75" s="5" t="n">
        <x:v>211004.4775303943</x:v>
      </x:c>
      <x:c r="L75" s="5" t="n">
        <x:f>K75-$D75</x:f>
        <x:v>4634.8584089859505</x:v>
      </x:c>
      <x:c r="M75" s="6" t="n">
        <x:f>L75/$D75</x:f>
        <x:v>0.02245901518216806</x:v>
      </x:c>
      <x:c r="N75" s="5" t="n">
        <x:f>ABS(L75)</x:f>
        <x:v>4634.8584089859505</x:v>
      </x:c>
      <x:c r="O75" s="6" t="n">
        <x:f>ABS(M75)</x:f>
        <x:v>0.02245901518216806</x:v>
      </x:c>
      <x:c r="P75" s="5" t="n">
        <x:v>185100.54683789387</x:v>
      </x:c>
      <x:c r="Q75" s="5" t="n">
        <x:f>P75-$D75</x:f>
        <x:v>-21269.072283514484</x:v>
      </x:c>
      <x:c r="R75" s="6" t="n">
        <x:f>Q75/$D75</x:f>
        <x:v>-0.10306300110483692</x:v>
      </x:c>
      <x:c r="S75" s="5" t="n">
        <x:f>ABS(Q75)</x:f>
        <x:v>21269.072283514484</x:v>
      </x:c>
      <x:c r="T75" s="6" t="n">
        <x:f>ABS(R75)</x:f>
        <x:v>0.10306300110483692</x:v>
      </x:c>
    </x:row>
    <x:row r="76">
      <x:c r="A76" s="4"/>
      <x:c r="B76" s="4" t="str">
        <x:v>Sacabamba</x:v>
      </x:c>
      <x:c r="C76" s="5" t="n">
        <x:v>4366</x:v>
      </x:c>
      <x:c r="D76" s="5" t="n">
        <x:v>4823.924022743248</x:v>
      </x:c>
      <x:c r="E76" s="5" t="n">
        <x:v>4987</x:v>
      </x:c>
      <x:c r="F76" s="5" t="n">
        <x:v>3194</x:v>
      </x:c>
      <x:c r="G76" s="5" t="n">
        <x:f>F76-$D76</x:f>
        <x:v>-1629.9240227432483</x:v>
      </x:c>
      <x:c r="H76" s="6" t="n">
        <x:f>G76/$D76</x:f>
        <x:v>-0.33788343577939484</x:v>
      </x:c>
      <x:c r="I76" s="5" t="n">
        <x:f>ABS(G76)</x:f>
        <x:v>1629.9240227432483</x:v>
      </x:c>
      <x:c r="J76" s="6" t="n">
        <x:f>ABS(H76)</x:f>
        <x:v>0.33788343577939484</x:v>
      </x:c>
      <x:c r="K76" s="5" t="n">
        <x:v>6989.558020935656</x:v>
      </x:c>
      <x:c r="L76" s="5" t="n">
        <x:f>K76-$D76</x:f>
        <x:v>2165.6339981924075</x:v>
      </x:c>
      <x:c r="M76" s="6" t="n">
        <x:f>L76/$D76</x:f>
        <x:v>0.4489361747784875</x:v>
      </x:c>
      <x:c r="N76" s="5" t="n">
        <x:f>ABS(L76)</x:f>
        <x:v>2165.6339981924075</x:v>
      </x:c>
      <x:c r="O76" s="6" t="n">
        <x:f>ABS(M76)</x:f>
        <x:v>0.4489361747784875</x:v>
      </x:c>
      <x:c r="P76" s="5" t="n">
        <x:v>4643.874664325005</x:v>
      </x:c>
      <x:c r="Q76" s="5" t="n">
        <x:f>P76-$D76</x:f>
        <x:v>-180.04935841824317</x:v>
      </x:c>
      <x:c r="R76" s="6" t="n">
        <x:f>Q76/$D76</x:f>
        <x:v>-0.03732425253162538</x:v>
      </x:c>
      <x:c r="S76" s="5" t="n">
        <x:f>ABS(Q76)</x:f>
        <x:v>180.04935841824317</x:v>
      </x:c>
      <x:c r="T76" s="6" t="n">
        <x:f>ABS(R76)</x:f>
        <x:v>0.03732425253162538</x:v>
      </x:c>
    </x:row>
    <x:row r="77">
      <x:c r="A77" s="4"/>
      <x:c r="B77" s="4" t="str">
        <x:v>San Benito</x:v>
      </x:c>
      <x:c r="C77" s="5" t="n">
        <x:v>13562</x:v>
      </x:c>
      <x:c r="D77" s="5" t="n">
        <x:v>13179.187638184192</x:v>
      </x:c>
      <x:c r="E77" s="5" t="n">
        <x:v>13054</x:v>
      </x:c>
      <x:c r="F77" s="5" t="n">
        <x:v>10827</x:v>
      </x:c>
      <x:c r="G77" s="5" t="n">
        <x:f>F77-$D77</x:f>
        <x:v>-2352.187638184192</x:v>
      </x:c>
      <x:c r="H77" s="6" t="n">
        <x:f>G77/$D77</x:f>
        <x:v>-0.17847743751437117</x:v>
      </x:c>
      <x:c r="I77" s="5" t="n">
        <x:f>ABS(G77)</x:f>
        <x:v>2352.187638184192</x:v>
      </x:c>
      <x:c r="J77" s="6" t="n">
        <x:f>ABS(H77)</x:f>
        <x:v>0.17847743751437117</x:v>
      </x:c>
      <x:c r="K77" s="5" t="n">
        <x:v>17535.13562705015</x:v>
      </x:c>
      <x:c r="L77" s="5" t="n">
        <x:f>K77-$D77</x:f>
        <x:v>4355.947988865957</x:v>
      </x:c>
      <x:c r="M77" s="6" t="n">
        <x:f>L77/$D77</x:f>
        <x:v>0.33051718424931026</x:v>
      </x:c>
      <x:c r="N77" s="5" t="n">
        <x:f>ABS(L77)</x:f>
        <x:v>4355.947988865957</x:v>
      </x:c>
      <x:c r="O77" s="6" t="n">
        <x:f>ABS(M77)</x:f>
        <x:v>0.33051718424931026</x:v>
      </x:c>
      <x:c r="P77" s="5" t="n">
        <x:v>15744.868559778664</x:v>
      </x:c>
      <x:c r="Q77" s="5" t="n">
        <x:f>P77-$D77</x:f>
        <x:v>2565.6809215944722</x:v>
      </x:c>
      <x:c r="R77" s="6" t="n">
        <x:f>Q77/$D77</x:f>
        <x:v>0.19467671240683296</x:v>
      </x:c>
      <x:c r="S77" s="5" t="n">
        <x:f>ABS(Q77)</x:f>
        <x:v>2565.6809215944722</x:v>
      </x:c>
      <x:c r="T77" s="6" t="n">
        <x:f>ABS(R77)</x:f>
        <x:v>0.19467671240683296</x:v>
      </x:c>
    </x:row>
    <x:row r="78">
      <x:c r="A78" s="4"/>
      <x:c r="B78" s="4" t="str">
        <x:v>Santiváñez</x:v>
      </x:c>
      <x:c r="C78" s="5" t="n">
        <x:v>6527</x:v>
      </x:c>
      <x:c r="D78" s="5" t="n">
        <x:v>7560.382705702227</x:v>
      </x:c>
      <x:c r="E78" s="5" t="n">
        <x:v>7940</x:v>
      </x:c>
      <x:c r="F78" s="5" t="n">
        <x:v>6683</x:v>
      </x:c>
      <x:c r="G78" s="5" t="n">
        <x:f>F78-$D78</x:f>
        <x:v>-877.3827057022272</x:v>
      </x:c>
      <x:c r="H78" s="6" t="n">
        <x:f>G78/$D78</x:f>
        <x:v>-0.11605003871569669</x:v>
      </x:c>
      <x:c r="I78" s="5" t="n">
        <x:f>ABS(G78)</x:f>
        <x:v>877.3827057022272</x:v>
      </x:c>
      <x:c r="J78" s="6" t="n">
        <x:f>ABS(H78)</x:f>
        <x:v>0.11605003871569669</x:v>
      </x:c>
      <x:c r="K78" s="5" t="n">
        <x:v>6584.752330035002</x:v>
      </x:c>
      <x:c r="L78" s="5" t="n">
        <x:f>K78-$D78</x:f>
        <x:v>-975.630375667225</x:v>
      </x:c>
      <x:c r="M78" s="6" t="n">
        <x:f>L78/$D78</x:f>
        <x:v>-0.12904510441401076</x:v>
      </x:c>
      <x:c r="N78" s="5" t="n">
        <x:f>ABS(L78)</x:f>
        <x:v>975.630375667225</x:v>
      </x:c>
      <x:c r="O78" s="6" t="n">
        <x:f>ABS(M78)</x:f>
        <x:v>0.12904510441401076</x:v>
      </x:c>
      <x:c r="P78" s="5" t="n">
        <x:v>6812.532820403434</x:v>
      </x:c>
      <x:c r="Q78" s="5" t="n">
        <x:f>P78-$D78</x:f>
        <x:v>-747.8498852987932</x:v>
      </x:c>
      <x:c r="R78" s="6" t="n">
        <x:f>Q78/$D78</x:f>
        <x:v>-0.09891693508249871</x:v>
      </x:c>
      <x:c r="S78" s="5" t="n">
        <x:f>ABS(Q78)</x:f>
        <x:v>747.8498852987932</x:v>
      </x:c>
      <x:c r="T78" s="6" t="n">
        <x:f>ABS(R78)</x:f>
        <x:v>0.09891693508249871</x:v>
      </x:c>
    </x:row>
    <x:row r="79">
      <x:c r="A79" s="4"/>
      <x:c r="B79" s="4" t="str">
        <x:v>Shinahota</x:v>
      </x:c>
      <x:c r="C79" s="5" t="n">
        <x:v>20841</x:v>
      </x:c>
      <x:c r="D79" s="5" t="n">
        <x:v>25428.50588281912</x:v>
      </x:c>
      <x:c r="E79" s="5" t="n">
        <x:v>27172</x:v>
      </x:c>
      <x:c r="F79" s="5" t="n">
        <x:v>26026</x:v>
      </x:c>
      <x:c r="G79" s="5" t="n">
        <x:f>F79-$D79</x:f>
        <x:v>597.4941171808787</x:v>
      </x:c>
      <x:c r="H79" s="6" t="n">
        <x:f>G79/$D79</x:f>
        <x:v>0.0234970202313215</x:v>
      </x:c>
      <x:c r="I79" s="5" t="n">
        <x:f>ABS(G79)</x:f>
        <x:v>597.4941171808787</x:v>
      </x:c>
      <x:c r="J79" s="6" t="n">
        <x:f>ABS(H79)</x:f>
        <x:v>0.0234970202313215</x:v>
      </x:c>
      <x:c r="K79" s="5" t="n">
        <x:v>15371.306326088634</x:v>
      </x:c>
      <x:c r="L79" s="5" t="n">
        <x:f>K79-$D79</x:f>
        <x:v>-10057.199556730488</x:v>
      </x:c>
      <x:c r="M79" s="6" t="n">
        <x:f>L79/$D79</x:f>
        <x:v>-0.3955088672168378</x:v>
      </x:c>
      <x:c r="N79" s="5" t="n">
        <x:f>ABS(L79)</x:f>
        <x:v>10057.199556730488</x:v>
      </x:c>
      <x:c r="O79" s="6" t="n">
        <x:f>ABS(M79)</x:f>
        <x:v>0.3955088672168378</x:v>
      </x:c>
      <x:c r="P79" s="5" t="n">
        <x:v>30571.83087920334</x:v>
      </x:c>
      <x:c r="Q79" s="5" t="n">
        <x:f>P79-$D79</x:f>
        <x:v>5143.324996384217</x:v>
      </x:c>
      <x:c r="R79" s="6" t="n">
        <x:f>Q79/$D79</x:f>
        <x:v>0.20226611111505874</x:v>
      </x:c>
      <x:c r="S79" s="5" t="n">
        <x:f>ABS(Q79)</x:f>
        <x:v>5143.324996384217</x:v>
      </x:c>
      <x:c r="T79" s="6" t="n">
        <x:f>ABS(R79)</x:f>
        <x:v>0.20226611111505874</x:v>
      </x:c>
    </x:row>
    <x:row r="80">
      <x:c r="A80" s="4"/>
      <x:c r="B80" s="4" t="str">
        <x:v>Sicaya</x:v>
      </x:c>
      <x:c r="C80" s="5" t="n">
        <x:v>3740</x:v>
      </x:c>
      <x:c r="D80" s="5" t="n">
        <x:v>3918.5934174406993</x:v>
      </x:c>
      <x:c r="E80" s="5" t="n">
        <x:v>3980</x:v>
      </x:c>
      <x:c r="F80" s="5" t="n">
        <x:v>3901</x:v>
      </x:c>
      <x:c r="G80" s="5" t="n">
        <x:f>F80-$D80</x:f>
        <x:v>-17.59341744069934</x:v>
      </x:c>
      <x:c r="H80" s="6" t="n">
        <x:f>G80/$D80</x:f>
        <x:v>-0.004489727707497121</x:v>
      </x:c>
      <x:c r="I80" s="5" t="n">
        <x:f>ABS(G80)</x:f>
        <x:v>17.59341744069934</x:v>
      </x:c>
      <x:c r="J80" s="6" t="n">
        <x:f>ABS(H80)</x:f>
        <x:v>0.004489727707497121</x:v>
      </x:c>
      <x:c r="K80" s="5" t="n">
        <x:v>2820.4956259369783</x:v>
      </x:c>
      <x:c r="L80" s="5" t="n">
        <x:f>K80-$D80</x:f>
        <x:v>-1098.097791503721</x:v>
      </x:c>
      <x:c r="M80" s="6" t="n">
        <x:f>L80/$D80</x:f>
        <x:v>-0.2802275394574892</x:v>
      </x:c>
      <x:c r="N80" s="5" t="n">
        <x:f>ABS(L80)</x:f>
        <x:v>1098.097791503721</x:v>
      </x:c>
      <x:c r="O80" s="6" t="n">
        <x:f>ABS(M80)</x:f>
        <x:v>0.2802275394574892</x:v>
      </x:c>
      <x:c r="P80" s="5" t="n">
        <x:v>3751.4767605149536</x:v>
      </x:c>
      <x:c r="Q80" s="5" t="n">
        <x:f>P80-$D80</x:f>
        <x:v>-167.1166569257457</x:v>
      </x:c>
      <x:c r="R80" s="6" t="n">
        <x:f>Q80/$D80</x:f>
        <x:v>-0.04264710295841115</x:v>
      </x:c>
      <x:c r="S80" s="5" t="n">
        <x:f>ABS(Q80)</x:f>
        <x:v>167.1166569257457</x:v>
      </x:c>
      <x:c r="T80" s="6" t="n">
        <x:f>ABS(R80)</x:f>
        <x:v>0.04264710295841115</x:v>
      </x:c>
    </x:row>
    <x:row r="81">
      <x:c r="A81" s="4"/>
      <x:c r="B81" s="4" t="str">
        <x:v>Sipesipe</x:v>
      </x:c>
      <x:c r="C81" s="5" t="n">
        <x:v>41571</x:v>
      </x:c>
      <x:c r="D81" s="5" t="n">
        <x:v>51916.22252998258</x:v>
      </x:c>
      <x:c r="E81" s="5" t="n">
        <x:v>55908</x:v>
      </x:c>
      <x:c r="F81" s="5" t="n">
        <x:v>47641</x:v>
      </x:c>
      <x:c r="G81" s="5" t="n">
        <x:f>F81-$D81</x:f>
        <x:v>-4275.22252998258</x:v>
      </x:c>
      <x:c r="H81" s="6" t="n">
        <x:f>G81/$D81</x:f>
        <x:v>-0.08234848996406778</x:v>
      </x:c>
      <x:c r="I81" s="5" t="n">
        <x:f>ABS(G81)</x:f>
        <x:v>4275.22252998258</x:v>
      </x:c>
      <x:c r="J81" s="6" t="n">
        <x:f>ABS(H81)</x:f>
        <x:v>0.08234848996406778</x:v>
      </x:c>
      <x:c r="K81" s="5" t="n">
        <x:v>43111.05112584412</x:v>
      </x:c>
      <x:c r="L81" s="5" t="n">
        <x:f>K81-$D81</x:f>
        <x:v>-8805.171404138462</x:v>
      </x:c>
      <x:c r="M81" s="6" t="n">
        <x:f>L81/$D81</x:f>
        <x:v>-0.16960346833888604</x:v>
      </x:c>
      <x:c r="N81" s="5" t="n">
        <x:f>ABS(L81)</x:f>
        <x:v>8805.171404138462</x:v>
      </x:c>
      <x:c r="O81" s="6" t="n">
        <x:f>ABS(M81)</x:f>
        <x:v>0.16960346833888604</x:v>
      </x:c>
      <x:c r="P81" s="5" t="n">
        <x:v>42138.32562210657</x:v>
      </x:c>
      <x:c r="Q81" s="5" t="n">
        <x:f>P81-$D81</x:f>
        <x:v>-9777.896907876013</x:v>
      </x:c>
      <x:c r="R81" s="6" t="n">
        <x:f>Q81/$D81</x:f>
        <x:v>-0.18833991441170622</x:v>
      </x:c>
      <x:c r="S81" s="5" t="n">
        <x:f>ABS(Q81)</x:f>
        <x:v>9777.896907876013</x:v>
      </x:c>
      <x:c r="T81" s="6" t="n">
        <x:f>ABS(R81)</x:f>
        <x:v>0.18833991441170622</x:v>
      </x:c>
    </x:row>
    <x:row r="82">
      <x:c r="A82" s="4"/>
      <x:c r="B82" s="4" t="str">
        <x:v>Tacachi</x:v>
      </x:c>
      <x:c r="C82" s="5" t="n">
        <x:v>1303</x:v>
      </x:c>
      <x:c r="D82" s="5" t="n">
        <x:v>1290.981486071731</x:v>
      </x:c>
      <x:c r="E82" s="5" t="n">
        <x:v>1287</x:v>
      </x:c>
      <x:c r="F82" s="5" t="n">
        <x:v>629</x:v>
      </x:c>
      <x:c r="G82" s="5" t="n">
        <x:f>F82-$D82</x:f>
        <x:v>-661.9814860717311</x:v>
      </x:c>
      <x:c r="H82" s="6" t="n">
        <x:f>G82/$D82</x:f>
        <x:v>-0.5127738028885639</x:v>
      </x:c>
      <x:c r="I82" s="5" t="n">
        <x:f>ABS(G82)</x:f>
        <x:v>661.9814860717311</x:v>
      </x:c>
      <x:c r="J82" s="6" t="n">
        <x:f>ABS(H82)</x:f>
        <x:v>0.5127738028885639</x:v>
      </x:c>
      <x:c r="K82" s="5" t="n">
        <x:v>1706.493190204396</x:v>
      </x:c>
      <x:c r="L82" s="5" t="n">
        <x:f>K82-$D82</x:f>
        <x:v>415.5117041326648</x:v>
      </x:c>
      <x:c r="M82" s="6" t="n">
        <x:f>L82/$D82</x:f>
        <x:v>0.3218572137676478</x:v>
      </x:c>
      <x:c r="N82" s="5" t="n">
        <x:f>ABS(L82)</x:f>
        <x:v>415.5117041326648</x:v>
      </x:c>
      <x:c r="O82" s="6" t="n">
        <x:f>ABS(M82)</x:f>
        <x:v>0.3218572137676478</x:v>
      </x:c>
      <x:c r="P82" s="5" t="n">
        <x:v>1526.7608268494075</x:v>
      </x:c>
      <x:c r="Q82" s="5" t="n">
        <x:f>P82-$D82</x:f>
        <x:v>235.77934077767645</x:v>
      </x:c>
      <x:c r="R82" s="6" t="n">
        <x:f>Q82/$D82</x:f>
        <x:v>0.182635725857788</x:v>
      </x:c>
      <x:c r="S82" s="5" t="n">
        <x:f>ABS(Q82)</x:f>
        <x:v>235.77934077767645</x:v>
      </x:c>
      <x:c r="T82" s="6" t="n">
        <x:f>ABS(R82)</x:f>
        <x:v>0.182635725857788</x:v>
      </x:c>
    </x:row>
    <x:row r="83">
      <x:c r="A83" s="4"/>
      <x:c r="B83" s="4" t="str">
        <x:v>Tacopaya</x:v>
      </x:c>
      <x:c r="C83" s="5" t="n">
        <x:v>10253</x:v>
      </x:c>
      <x:c r="D83" s="5" t="n">
        <x:v>10623.53584352304</x:v>
      </x:c>
      <x:c r="E83" s="5" t="n">
        <x:v>10750</x:v>
      </x:c>
      <x:c r="F83" s="5" t="n">
        <x:v>7597</x:v>
      </x:c>
      <x:c r="G83" s="5" t="n">
        <x:f>F83-$D83</x:f>
        <x:v>-3026.535843523039</x:v>
      </x:c>
      <x:c r="H83" s="6" t="n">
        <x:f>G83/$D83</x:f>
        <x:v>-0.2848896909749929</x:v>
      </x:c>
      <x:c r="I83" s="5" t="n">
        <x:f>ABS(G83)</x:f>
        <x:v>3026.535843523039</x:v>
      </x:c>
      <x:c r="J83" s="6" t="n">
        <x:f>ABS(H83)</x:f>
        <x:v>0.2848896909749929</x:v>
      </x:c>
      <x:c r="K83" s="5" t="n">
        <x:v>10773.660052485526</x:v>
      </x:c>
      <x:c r="L83" s="5" t="n">
        <x:f>K83-$D83</x:f>
        <x:v>150.1242089624866</x:v>
      </x:c>
      <x:c r="M83" s="6" t="n">
        <x:f>L83/$D83</x:f>
        <x:v>0.014131284647005204</x:v>
      </x:c>
      <x:c r="N83" s="5" t="n">
        <x:f>ABS(L83)</x:f>
        <x:v>150.1242089624866</x:v>
      </x:c>
      <x:c r="O83" s="6" t="n">
        <x:f>ABS(M83)</x:f>
        <x:v>0.014131284647005204</x:v>
      </x:c>
      <x:c r="P83" s="5" t="n">
        <x:v>10965.484776223428</x:v>
      </x:c>
      <x:c r="Q83" s="5" t="n">
        <x:f>P83-$D83</x:f>
        <x:v>341.94893270038847</x:v>
      </x:c>
      <x:c r="R83" s="6" t="n">
        <x:f>Q83/$D83</x:f>
        <x:v>0.03218786454312836</x:v>
      </x:c>
      <x:c r="S83" s="5" t="n">
        <x:f>ABS(Q83)</x:f>
        <x:v>341.94893270038847</x:v>
      </x:c>
      <x:c r="T83" s="6" t="n">
        <x:f>ABS(R83)</x:f>
        <x:v>0.03218786454312836</x:v>
      </x:c>
    </x:row>
    <x:row r="84">
      <x:c r="A84" s="4"/>
      <x:c r="B84" s="4" t="str">
        <x:v>Tapacarí</x:v>
      </x:c>
      <x:c r="C84" s="5" t="n">
        <x:v>24625</x:v>
      </x:c>
      <x:c r="D84" s="5" t="n">
        <x:v>24655.743604689407</x:v>
      </x:c>
      <x:c r="E84" s="5" t="n">
        <x:v>24666</x:v>
      </x:c>
      <x:c r="F84" s="5" t="n">
        <x:v>22986</x:v>
      </x:c>
      <x:c r="G84" s="5" t="n">
        <x:f>F84-$D84</x:f>
        <x:v>-1669.7436046894072</x:v>
      </x:c>
      <x:c r="H84" s="6" t="n">
        <x:f>G84/$D84</x:f>
        <x:v>-0.06772229754903153</x:v>
      </x:c>
      <x:c r="I84" s="5" t="n">
        <x:f>ABS(G84)</x:f>
        <x:v>1669.7436046894072</x:v>
      </x:c>
      <x:c r="J84" s="6" t="n">
        <x:f>ABS(H84)</x:f>
        <x:v>0.06772229754903153</x:v>
      </x:c>
      <x:c r="K84" s="5" t="n">
        <x:v>29556.52806129393</x:v>
      </x:c>
      <x:c r="L84" s="5" t="n">
        <x:f>K84-$D84</x:f>
        <x:v>4900.784456604524</x:v>
      </x:c>
      <x:c r="M84" s="6" t="n">
        <x:f>L84/$D84</x:f>
        <x:v>0.19876847095669903</x:v>
      </x:c>
      <x:c r="N84" s="5" t="n">
        <x:f>ABS(L84)</x:f>
        <x:v>4900.784456604524</x:v>
      </x:c>
      <x:c r="O84" s="6" t="n">
        <x:f>ABS(M84)</x:f>
        <x:v>0.19876847095669903</x:v>
      </x:c>
      <x:c r="P84" s="5" t="n">
        <x:v>25972.61988962935</x:v>
      </x:c>
      <x:c r="Q84" s="5" t="n">
        <x:f>P84-$D84</x:f>
        <x:v>1316.8762849399427</x:v>
      </x:c>
      <x:c r="R84" s="6" t="n">
        <x:f>Q84/$D84</x:f>
        <x:v>0.053410528031670436</x:v>
      </x:c>
      <x:c r="S84" s="5" t="n">
        <x:f>ABS(Q84)</x:f>
        <x:v>1316.8762849399427</x:v>
      </x:c>
      <x:c r="T84" s="6" t="n">
        <x:f>ABS(R84)</x:f>
        <x:v>0.053410528031670436</x:v>
      </x:c>
    </x:row>
    <x:row r="85">
      <x:c r="A85" s="4"/>
      <x:c r="B85" s="4" t="str">
        <x:v>Tarata</x:v>
      </x:c>
      <x:c r="C85" s="5" t="n">
        <x:v>8242</x:v>
      </x:c>
      <x:c r="D85" s="5" t="n">
        <x:v>10424.081129822041</x:v>
      </x:c>
      <x:c r="E85" s="5" t="n">
        <x:v>11273</x:v>
      </x:c>
      <x:c r="F85" s="5" t="n">
        <x:v>9976</x:v>
      </x:c>
      <x:c r="G85" s="5" t="n">
        <x:f>F85-$D85</x:f>
        <x:v>-448.0811298220415</x:v>
      </x:c>
      <x:c r="H85" s="6" t="n">
        <x:f>G85/$D85</x:f>
        <x:v>-0.04298519209910361</x:v>
      </x:c>
      <x:c r="I85" s="5" t="n">
        <x:f>ABS(G85)</x:f>
        <x:v>448.0811298220415</x:v>
      </x:c>
      <x:c r="J85" s="6" t="n">
        <x:f>ABS(H85)</x:f>
        <x:v>0.04298519209910361</x:v>
      </x:c>
      <x:c r="K85" s="5" t="n">
        <x:v>8333.225527973373</x:v>
      </x:c>
      <x:c r="L85" s="5" t="n">
        <x:f>K85-$D85</x:f>
        <x:v>-2090.855601848669</x:v>
      </x:c>
      <x:c r="M85" s="6" t="n">
        <x:f>L85/$D85</x:f>
        <x:v>-0.20057936769764603</x:v>
      </x:c>
      <x:c r="N85" s="5" t="n">
        <x:f>ABS(L85)</x:f>
        <x:v>2090.855601848669</x:v>
      </x:c>
      <x:c r="O85" s="6" t="n">
        <x:f>ABS(M85)</x:f>
        <x:v>0.20057936769764603</x:v>
      </x:c>
      <x:c r="P85" s="5" t="n">
        <x:v>8816.059190314394</x:v>
      </x:c>
      <x:c r="Q85" s="5" t="n">
        <x:f>P85-$D85</x:f>
        <x:v>-1608.0219395076474</x:v>
      </x:c>
      <x:c r="R85" s="6" t="n">
        <x:f>Q85/$D85</x:f>
        <x:v>-0.15426030548700262</x:v>
      </x:c>
      <x:c r="S85" s="5" t="n">
        <x:f>ABS(Q85)</x:f>
        <x:v>1608.0219395076474</x:v>
      </x:c>
      <x:c r="T85" s="6" t="n">
        <x:f>ABS(R85)</x:f>
        <x:v>0.15426030548700262</x:v>
      </x:c>
    </x:row>
    <x:row r="86">
      <x:c r="A86" s="4"/>
      <x:c r="B86" s="4" t="str">
        <x:v>Tiquipaya</x:v>
      </x:c>
      <x:c r="C86" s="5" t="n">
        <x:v>53904</x:v>
      </x:c>
      <x:c r="D86" s="5" t="n">
        <x:v>59752.67590773086</x:v>
      </x:c>
      <x:c r="E86" s="5" t="n">
        <x:v>61840</x:v>
      </x:c>
      <x:c r="F86" s="5" t="n">
        <x:v>63376</x:v>
      </x:c>
      <x:c r="G86" s="5" t="n">
        <x:f>F86-$D86</x:f>
        <x:v>3623.3240922691402</x:v>
      </x:c>
      <x:c r="H86" s="6" t="n">
        <x:f>G86/$D86</x:f>
        <x:v>0.06063869169414639</x:v>
      </x:c>
      <x:c r="I86" s="5" t="n">
        <x:f>ABS(G86)</x:f>
        <x:v>3623.3240922691402</x:v>
      </x:c>
      <x:c r="J86" s="6" t="n">
        <x:f>ABS(H86)</x:f>
        <x:v>0.06063869169414639</x:v>
      </x:c>
      <x:c r="K86" s="5" t="n">
        <x:v>69788.98488332331</x:v>
      </x:c>
      <x:c r="L86" s="5" t="n">
        <x:f>K86-$D86</x:f>
        <x:v>10036.308975592452</x:v>
      </x:c>
      <x:c r="M86" s="6" t="n">
        <x:f>L86/$D86</x:f>
        <x:v>0.16796417604946032</x:v>
      </x:c>
      <x:c r="N86" s="5" t="n">
        <x:f>ABS(L86)</x:f>
        <x:v>10036.308975592452</x:v>
      </x:c>
      <x:c r="O86" s="6" t="n">
        <x:f>ABS(M86)</x:f>
        <x:v>0.16796417604946032</x:v>
      </x:c>
      <x:c r="P86" s="5" t="n">
        <x:v>60054.21230072228</x:v>
      </x:c>
      <x:c r="Q86" s="5" t="n">
        <x:f>P86-$D86</x:f>
        <x:v>301.5363929914238</x:v>
      </x:c>
      <x:c r="R86" s="6" t="n">
        <x:f>Q86/$D86</x:f>
        <x:v>0.005046408188598139</x:v>
      </x:c>
      <x:c r="S86" s="5" t="n">
        <x:f>ABS(Q86)</x:f>
        <x:v>301.5363929914238</x:v>
      </x:c>
      <x:c r="T86" s="6" t="n">
        <x:f>ABS(R86)</x:f>
        <x:v>0.005046408188598139</x:v>
      </x:c>
    </x:row>
    <x:row r="87">
      <x:c r="A87" s="4"/>
      <x:c r="B87" s="4" t="str">
        <x:v>Tiraque</x:v>
      </x:c>
      <x:c r="C87" s="5" t="n">
        <x:v>21231</x:v>
      </x:c>
      <x:c r="D87" s="5" t="n">
        <x:v>19128.50143580907</x:v>
      </x:c>
      <x:c r="E87" s="5" t="n">
        <x:v>18475</x:v>
      </x:c>
      <x:c r="F87" s="5" t="n">
        <x:v>21131</x:v>
      </x:c>
      <x:c r="G87" s="5" t="n">
        <x:f>F87-$D87</x:f>
        <x:v>2002.4985641909298</x:v>
      </x:c>
      <x:c r="H87" s="6" t="n">
        <x:f>G87/$D87</x:f>
        <x:v>0.10468664107906532</x:v>
      </x:c>
      <x:c r="I87" s="5" t="n">
        <x:f>ABS(G87)</x:f>
        <x:v>2002.4985641909298</x:v>
      </x:c>
      <x:c r="J87" s="6" t="n">
        <x:f>ABS(H87)</x:f>
        <x:v>0.10468664107906532</x:v>
      </x:c>
      <x:c r="K87" s="5" t="n">
        <x:v>29374.635593972624</x:v>
      </x:c>
      <x:c r="L87" s="5" t="n">
        <x:f>K87-$D87</x:f>
        <x:v>10246.134158163553</x:v>
      </x:c>
      <x:c r="M87" s="6" t="n">
        <x:f>L87/$D87</x:f>
        <x:v>0.5356475096884753</x:v>
      </x:c>
      <x:c r="N87" s="5" t="n">
        <x:f>ABS(L87)</x:f>
        <x:v>10246.134158163553</x:v>
      </x:c>
      <x:c r="O87" s="6" t="n">
        <x:f>ABS(M87)</x:f>
        <x:v>0.5356475096884753</x:v>
      </x:c>
      <x:c r="P87" s="5" t="n">
        <x:v>12728.76658570303</x:v>
      </x:c>
      <x:c r="Q87" s="5" t="n">
        <x:f>P87-$D87</x:f>
        <x:v>-6399.7348501060405</x:v>
      </x:c>
      <x:c r="R87" s="6" t="n">
        <x:f>Q87/$D87</x:f>
        <x:v>-0.33456540605557133</x:v>
      </x:c>
      <x:c r="S87" s="5" t="n">
        <x:f>ABS(Q87)</x:f>
        <x:v>6399.7348501060405</x:v>
      </x:c>
      <x:c r="T87" s="6" t="n">
        <x:f>ABS(R87)</x:f>
        <x:v>0.33456540605557133</x:v>
      </x:c>
    </x:row>
    <x:row r="88">
      <x:c r="A88" s="4"/>
      <x:c r="B88" s="4" t="str">
        <x:v>Toco</x:v>
      </x:c>
      <x:c r="C88" s="5" t="n">
        <x:v>7057</x:v>
      </x:c>
      <x:c r="D88" s="5" t="n">
        <x:v>7299.373054058679</x:v>
      </x:c>
      <x:c r="E88" s="5" t="n">
        <x:v>7382</x:v>
      </x:c>
      <x:c r="F88" s="5" t="n">
        <x:v>5656</x:v>
      </x:c>
      <x:c r="G88" s="5" t="n">
        <x:f>F88-$D88</x:f>
        <x:v>-1643.3730540586794</x:v>
      </x:c>
      <x:c r="H88" s="6" t="n">
        <x:f>G88/$D88</x:f>
        <x:v>-0.22513893205457045</x:v>
      </x:c>
      <x:c r="I88" s="5" t="n">
        <x:f>ABS(G88)</x:f>
        <x:v>1643.3730540586794</x:v>
      </x:c>
      <x:c r="J88" s="6" t="n">
        <x:f>ABS(H88)</x:f>
        <x:v>0.22513893205457045</x:v>
      </x:c>
      <x:c r="K88" s="5" t="n">
        <x:v>6838.797151367369</x:v>
      </x:c>
      <x:c r="L88" s="5" t="n">
        <x:f>K88-$D88</x:f>
        <x:v>-460.57590269131015</x:v>
      </x:c>
      <x:c r="M88" s="6" t="n">
        <x:f>L88/$D88</x:f>
        <x:v>-0.06309800845638593</x:v>
      </x:c>
      <x:c r="N88" s="5" t="n">
        <x:f>ABS(L88)</x:f>
        <x:v>460.57590269131015</x:v>
      </x:c>
      <x:c r="O88" s="6" t="n">
        <x:f>ABS(M88)</x:f>
        <x:v>0.06309800845638593</x:v>
      </x:c>
      <x:c r="P88" s="5" t="n">
        <x:v>6122.542551468498</x:v>
      </x:c>
      <x:c r="Q88" s="5" t="n">
        <x:f>P88-$D88</x:f>
        <x:v>-1176.8305025901818</x:v>
      </x:c>
      <x:c r="R88" s="6" t="n">
        <x:f>Q88/$D88</x:f>
        <x:v>-0.16122350424819393</x:v>
      </x:c>
      <x:c r="S88" s="5" t="n">
        <x:f>ABS(Q88)</x:f>
        <x:v>1176.8305025901818</x:v>
      </x:c>
      <x:c r="T88" s="6" t="n">
        <x:f>ABS(R88)</x:f>
        <x:v>0.16122350424819393</x:v>
      </x:c>
    </x:row>
    <x:row r="89">
      <x:c r="A89" s="4"/>
      <x:c r="B89" s="4" t="str">
        <x:v>Tolata</x:v>
      </x:c>
      <x:c r="C89" s="5" t="n">
        <x:v>5542</x:v>
      </x:c>
      <x:c r="D89" s="5" t="n">
        <x:v>7763.7044904063005</x:v>
      </x:c>
      <x:c r="E89" s="5" t="n">
        <x:v>8687</x:v>
      </x:c>
      <x:c r="F89" s="5" t="n">
        <x:v>5851</x:v>
      </x:c>
      <x:c r="G89" s="5" t="n">
        <x:f>F89-$D89</x:f>
        <x:v>-1912.7044904063005</x:v>
      </x:c>
      <x:c r="H89" s="6" t="n">
        <x:f>G89/$D89</x:f>
        <x:v>-0.24636492704865975</x:v>
      </x:c>
      <x:c r="I89" s="5" t="n">
        <x:f>ABS(G89)</x:f>
        <x:v>1912.7044904063005</x:v>
      </x:c>
      <x:c r="J89" s="6" t="n">
        <x:f>ABS(H89)</x:f>
        <x:v>0.24636492704865975</x:v>
      </x:c>
      <x:c r="K89" s="5" t="n">
        <x:v>5957.533501535972</x:v>
      </x:c>
      <x:c r="L89" s="5" t="n">
        <x:f>K89-$D89</x:f>
        <x:v>-1806.170988870328</x:v>
      </x:c>
      <x:c r="M89" s="6" t="n">
        <x:f>L89/$D89</x:f>
        <x:v>-0.23264293367969305</x:v>
      </x:c>
      <x:c r="N89" s="5" t="n">
        <x:f>ABS(L89)</x:f>
        <x:v>1806.170988870328</x:v>
      </x:c>
      <x:c r="O89" s="6" t="n">
        <x:f>ABS(M89)</x:f>
        <x:v>0.23264293367969305</x:v>
      </x:c>
      <x:c r="P89" s="5" t="n">
        <x:v>6059.976627157001</x:v>
      </x:c>
      <x:c r="Q89" s="5" t="n">
        <x:f>P89-$D89</x:f>
        <x:v>-1703.7278632492998</x:v>
      </x:c>
      <x:c r="R89" s="6" t="n">
        <x:f>Q89/$D89</x:f>
        <x:v>-0.21944779909573014</x:v>
      </x:c>
      <x:c r="S89" s="5" t="n">
        <x:f>ABS(Q89)</x:f>
        <x:v>1703.7278632492998</x:v>
      </x:c>
      <x:c r="T89" s="6" t="n">
        <x:f>ABS(R89)</x:f>
        <x:v>0.21944779909573014</x:v>
      </x:c>
    </x:row>
    <x:row r="90">
      <x:c r="A90" s="4"/>
      <x:c r="B90" s="4" t="str">
        <x:v>Totora</x:v>
      </x:c>
      <x:c r="C90" s="5" t="n">
        <x:v>14665</x:v>
      </x:c>
      <x:c r="D90" s="5" t="n">
        <x:v>14781.845110961403</x:v>
      </x:c>
      <x:c r="E90" s="5" t="n">
        <x:v>14821</x:v>
      </x:c>
      <x:c r="F90" s="5" t="n">
        <x:v>15980</x:v>
      </x:c>
      <x:c r="G90" s="5" t="n">
        <x:f>F90-$D90</x:f>
        <x:v>1198.1548890385966</x:v>
      </x:c>
      <x:c r="H90" s="6" t="n">
        <x:f>G90/$D90</x:f>
        <x:v>0.08105584113786382</x:v>
      </x:c>
      <x:c r="I90" s="5" t="n">
        <x:f>ABS(G90)</x:f>
        <x:v>1198.1548890385966</x:v>
      </x:c>
      <x:c r="J90" s="6" t="n">
        <x:f>ABS(H90)</x:f>
        <x:v>0.08105584113786382</x:v>
      </x:c>
      <x:c r="K90" s="5" t="n">
        <x:v>30268.58966703473</x:v>
      </x:c>
      <x:c r="L90" s="5" t="n">
        <x:f>K90-$D90</x:f>
        <x:v>15486.744556073325</x:v>
      </x:c>
      <x:c r="M90" s="6" t="n">
        <x:f>L90/$D90</x:f>
        <x:v>1.0476868374563881</x:v>
      </x:c>
      <x:c r="N90" s="5" t="n">
        <x:f>ABS(L90)</x:f>
        <x:v>15486.744556073325</x:v>
      </x:c>
      <x:c r="O90" s="6" t="n">
        <x:f>ABS(M90)</x:f>
        <x:v>1.0476868374563881</x:v>
      </x:c>
      <x:c r="P90" s="5" t="n">
        <x:v>15217.44705023639</x:v>
      </x:c>
      <x:c r="Q90" s="5" t="n">
        <x:f>P90-$D90</x:f>
        <x:v>435.60193927498585</x:v>
      </x:c>
      <x:c r="R90" s="6" t="n">
        <x:f>Q90/$D90</x:f>
        <x:v>0.029468712194255602</x:v>
      </x:c>
      <x:c r="S90" s="5" t="n">
        <x:f>ABS(Q90)</x:f>
        <x:v>435.60193927498585</x:v>
      </x:c>
      <x:c r="T90" s="6" t="n">
        <x:f>ABS(R90)</x:f>
        <x:v>0.029468712194255602</x:v>
      </x:c>
    </x:row>
    <x:row r="91">
      <x:c r="A91" s="4"/>
      <x:c r="B91" s="4" t="str">
        <x:v>Vacas</x:v>
      </x:c>
      <x:c r="C91" s="5" t="n">
        <x:v>8940</x:v>
      </x:c>
      <x:c r="D91" s="5" t="n">
        <x:v>8538.717474857465</x:v>
      </x:c>
      <x:c r="E91" s="5" t="n">
        <x:v>8409</x:v>
      </x:c>
      <x:c r="F91" s="5" t="n">
        <x:v>8193</x:v>
      </x:c>
      <x:c r="G91" s="5" t="n">
        <x:f>F91-$D91</x:f>
        <x:v>-345.7174748574653</x:v>
      </x:c>
      <x:c r="H91" s="6" t="n">
        <x:f>G91/$D91</x:f>
        <x:v>-0.04048822037682377</x:v>
      </x:c>
      <x:c r="I91" s="5" t="n">
        <x:f>ABS(G91)</x:f>
        <x:v>345.7174748574653</x:v>
      </x:c>
      <x:c r="J91" s="6" t="n">
        <x:f>ABS(H91)</x:f>
        <x:v>0.04048822037682377</x:v>
      </x:c>
      <x:c r="K91" s="5" t="n">
        <x:v>12912.68423536605</x:v>
      </x:c>
      <x:c r="L91" s="5" t="n">
        <x:f>K91-$D91</x:f>
        <x:v>4373.966760508585</x:v>
      </x:c>
      <x:c r="M91" s="6" t="n">
        <x:f>L91/$D91</x:f>
        <x:v>0.5122510228717456</x:v>
      </x:c>
      <x:c r="N91" s="5" t="n">
        <x:f>ABS(L91)</x:f>
        <x:v>4373.966760508585</x:v>
      </x:c>
      <x:c r="O91" s="6" t="n">
        <x:f>ABS(M91)</x:f>
        <x:v>0.5122510228717456</x:v>
      </x:c>
      <x:c r="P91" s="5" t="n">
        <x:v>9716.678372388891</x:v>
      </x:c>
      <x:c r="Q91" s="5" t="n">
        <x:f>P91-$D91</x:f>
        <x:v>1177.9608975314259</x:v>
      </x:c>
      <x:c r="R91" s="6" t="n">
        <x:f>Q91/$D91</x:f>
        <x:v>0.13795524925142102</x:v>
      </x:c>
      <x:c r="S91" s="5" t="n">
        <x:f>ABS(Q91)</x:f>
        <x:v>1177.9608975314259</x:v>
      </x:c>
      <x:c r="T91" s="6" t="n">
        <x:f>ABS(R91)</x:f>
        <x:v>0.13795524925142102</x:v>
      </x:c>
    </x:row>
    <x:row r="92">
      <x:c r="A92" s="4"/>
      <x:c r="B92" s="4" t="str">
        <x:v>Vila Vila</x:v>
      </x:c>
      <x:c r="C92" s="5" t="n">
        <x:v>5459</x:v>
      </x:c>
      <x:c r="D92" s="5" t="n">
        <x:v>5296.942832772906</x:v>
      </x:c>
      <x:c r="E92" s="5" t="n">
        <x:v>5244</x:v>
      </x:c>
      <x:c r="F92" s="5" t="n">
        <x:v>4505</x:v>
      </x:c>
      <x:c r="G92" s="5" t="n">
        <x:f>F92-$D92</x:f>
        <x:v>-791.9428327729056</x:v>
      </x:c>
      <x:c r="H92" s="6" t="n">
        <x:f>G92/$D92</x:f>
        <x:v>-0.14950941661538192</x:v>
      </x:c>
      <x:c r="I92" s="5" t="n">
        <x:f>ABS(G92)</x:f>
        <x:v>791.9428327729056</x:v>
      </x:c>
      <x:c r="J92" s="6" t="n">
        <x:f>ABS(H92)</x:f>
        <x:v>0.14950941661538192</x:v>
      </x:c>
      <x:c r="K92" s="5" t="n">
        <x:v>7150.084911537971</x:v>
      </x:c>
      <x:c r="L92" s="5" t="n">
        <x:f>K92-$D92</x:f>
        <x:v>1853.142078765065</x:v>
      </x:c>
      <x:c r="M92" s="6" t="n">
        <x:f>L92/$D92</x:f>
        <x:v>0.3498512514236368</x:v>
      </x:c>
      <x:c r="N92" s="5" t="n">
        <x:f>ABS(L92)</x:f>
        <x:v>1853.142078765065</x:v>
      </x:c>
      <x:c r="O92" s="6" t="n">
        <x:f>ABS(M92)</x:f>
        <x:v>0.3498512514236368</x:v>
      </x:c>
      <x:c r="P92" s="5" t="n">
        <x:v>5614.437364097961</x:v>
      </x:c>
      <x:c r="Q92" s="5" t="n">
        <x:f>P92-$D92</x:f>
        <x:v>317.4945313250555</x:v>
      </x:c>
      <x:c r="R92" s="6" t="n">
        <x:f>Q92/$D92</x:f>
        <x:v>0.059939202922990535</x:v>
      </x:c>
      <x:c r="S92" s="5" t="n">
        <x:f>ABS(Q92)</x:f>
        <x:v>317.4945313250555</x:v>
      </x:c>
      <x:c r="T92" s="6" t="n">
        <x:f>ABS(R92)</x:f>
        <x:v>0.059939202922990535</x:v>
      </x:c>
    </x:row>
    <x:row r="93">
      <x:c r="A93" s="4"/>
      <x:c r="B93" s="4" t="str">
        <x:v>Villa Gualberto Villarroel</x:v>
      </x:c>
      <x:c r="C93" s="5" t="n">
        <x:v>2768</x:v>
      </x:c>
      <x:c r="D93" s="5" t="n">
        <x:v>3525.815100797195</x:v>
      </x:c>
      <x:c r="E93" s="5" t="n">
        <x:v>3822</x:v>
      </x:c>
      <x:c r="F93" s="5" t="n">
        <x:v>1588</x:v>
      </x:c>
      <x:c r="G93" s="5" t="n">
        <x:f>F93-$D93</x:f>
        <x:v>-1937.815100797195</x:v>
      </x:c>
      <x:c r="H93" s="6" t="n">
        <x:f>G93/$D93</x:f>
        <x:v>-0.5496076922352084</x:v>
      </x:c>
      <x:c r="I93" s="5" t="n">
        <x:f>ABS(G93)</x:f>
        <x:v>1937.815100797195</x:v>
      </x:c>
      <x:c r="J93" s="6" t="n">
        <x:f>ABS(H93)</x:f>
        <x:v>0.5496076922352084</x:v>
      </x:c>
      <x:c r="K93" s="5" t="n">
        <x:v>3627.19155699564</x:v>
      </x:c>
      <x:c r="L93" s="5" t="n">
        <x:f>K93-$D93</x:f>
        <x:v>101.37645619844488</x:v>
      </x:c>
      <x:c r="M93" s="6" t="n">
        <x:f>L93/$D93</x:f>
        <x:v>0.028752629760852584</x:v>
      </x:c>
      <x:c r="N93" s="5" t="n">
        <x:f>ABS(L93)</x:f>
        <x:v>101.37645619844488</x:v>
      </x:c>
      <x:c r="O93" s="6" t="n">
        <x:f>ABS(M93)</x:f>
        <x:v>0.028752629760852584</x:v>
      </x:c>
      <x:c r="P93" s="5" t="n">
        <x:v>3157.9451539511792</x:v>
      </x:c>
      <x:c r="Q93" s="5" t="n">
        <x:f>P93-$D93</x:f>
        <x:v>-367.86994684601586</x:v>
      </x:c>
      <x:c r="R93" s="6" t="n">
        <x:f>Q93/$D93</x:f>
        <x:v>-0.10433614251718407</x:v>
      </x:c>
      <x:c r="S93" s="5" t="n">
        <x:f>ABS(Q93)</x:f>
        <x:v>367.86994684601586</x:v>
      </x:c>
      <x:c r="T93" s="6" t="n">
        <x:f>ABS(R93)</x:f>
        <x:v>0.10433614251718407</x:v>
      </x:c>
    </x:row>
    <x:row r="94">
      <x:c r="A94" s="4"/>
      <x:c r="B94" s="4" t="str">
        <x:v>Villa Rivero</x:v>
      </x:c>
      <x:c r="C94" s="5" t="n">
        <x:v>8135</x:v>
      </x:c>
      <x:c r="D94" s="5" t="n">
        <x:v>8480.576010295186</x:v>
      </x:c>
      <x:c r="E94" s="5" t="n">
        <x:v>8599</x:v>
      </x:c>
      <x:c r="F94" s="5" t="n">
        <x:v>7575</x:v>
      </x:c>
      <x:c r="G94" s="5" t="n">
        <x:f>F94-$D94</x:f>
        <x:v>-905.5760102951863</x:v>
      </x:c>
      <x:c r="H94" s="6" t="n">
        <x:f>G94/$D94</x:f>
        <x:v>-0.1067823705837719</x:v>
      </x:c>
      <x:c r="I94" s="5" t="n">
        <x:f>ABS(G94)</x:f>
        <x:v>905.5760102951863</x:v>
      </x:c>
      <x:c r="J94" s="6" t="n">
        <x:f>ABS(H94)</x:f>
        <x:v>0.1067823705837719</x:v>
      </x:c>
      <x:c r="K94" s="5" t="n">
        <x:v>9157.560725817322</x:v>
      </x:c>
      <x:c r="L94" s="5" t="n">
        <x:f>K94-$D94</x:f>
        <x:v>676.984715522136</x:v>
      </x:c>
      <x:c r="M94" s="6" t="n">
        <x:f>L94/$D94</x:f>
        <x:v>0.07982768089104975</x:v>
      </x:c>
      <x:c r="N94" s="5" t="n">
        <x:f>ABS(L94)</x:f>
        <x:v>676.984715522136</x:v>
      </x:c>
      <x:c r="O94" s="6" t="n">
        <x:f>ABS(M94)</x:f>
        <x:v>0.07982768089104975</x:v>
      </x:c>
      <x:c r="P94" s="5" t="n">
        <x:v>8198.45273525374</x:v>
      </x:c>
      <x:c r="Q94" s="5" t="n">
        <x:f>P94-$D94</x:f>
        <x:v>-282.1232750414456</x:v>
      </x:c>
      <x:c r="R94" s="6" t="n">
        <x:f>Q94/$D94</x:f>
        <x:v>-0.03326699444695215</x:v>
      </x:c>
      <x:c r="S94" s="5" t="n">
        <x:f>ABS(Q94)</x:f>
        <x:v>282.1232750414456</x:v>
      </x:c>
      <x:c r="T94" s="6" t="n">
        <x:f>ABS(R94)</x:f>
        <x:v>0.03326699444695215</x:v>
      </x:c>
    </x:row>
    <x:row r="95">
      <x:c r="A95" s="4"/>
      <x:c r="B95" s="4" t="str">
        <x:v>Villa Tunari</x:v>
      </x:c>
      <x:c r="C95" s="5" t="n">
        <x:v>71386</x:v>
      </x:c>
      <x:c r="D95" s="5" t="n">
        <x:v>87573.21542292503</x:v>
      </x:c>
      <x:c r="E95" s="5" t="n">
        <x:v>93747</x:v>
      </x:c>
      <x:c r="F95" s="5" t="n">
        <x:v>85552</x:v>
      </x:c>
      <x:c r="G95" s="5" t="n">
        <x:f>F95-$D95</x:f>
        <x:v>-2021.21542292503</x:v>
      </x:c>
      <x:c r="H95" s="6" t="n">
        <x:f>G95/$D95</x:f>
        <x:v>-0.023080292452021964</x:v>
      </x:c>
      <x:c r="I95" s="5" t="n">
        <x:f>ABS(G95)</x:f>
        <x:v>2021.21542292503</x:v>
      </x:c>
      <x:c r="J95" s="6" t="n">
        <x:f>ABS(H95)</x:f>
        <x:v>0.023080292452021964</x:v>
      </x:c>
      <x:c r="K95" s="5" t="n">
        <x:v>80847.47823428582</x:v>
      </x:c>
      <x:c r="L95" s="5" t="n">
        <x:f>K95-$D95</x:f>
        <x:v>-6725.737188639207</x:v>
      </x:c>
      <x:c r="M95" s="6" t="n">
        <x:f>L95/$D95</x:f>
        <x:v>-0.07680130455594228</x:v>
      </x:c>
      <x:c r="N95" s="5" t="n">
        <x:f>ABS(L95)</x:f>
        <x:v>6725.737188639207</x:v>
      </x:c>
      <x:c r="O95" s="6" t="n">
        <x:f>ABS(M95)</x:f>
        <x:v>0.07680130455594228</x:v>
      </x:c>
      <x:c r="P95" s="5" t="n">
        <x:v>74006.67933269191</x:v>
      </x:c>
      <x:c r="Q95" s="5" t="n">
        <x:f>P95-$D95</x:f>
        <x:v>-13566.536090233116</x:v>
      </x:c>
      <x:c r="R95" s="6" t="n">
        <x:f>Q95/$D95</x:f>
        <x:v>-0.1549165007213113</x:v>
      </x:c>
      <x:c r="S95" s="5" t="n">
        <x:f>ABS(Q95)</x:f>
        <x:v>13566.536090233116</x:v>
      </x:c>
      <x:c r="T95" s="6" t="n">
        <x:f>ABS(R95)</x:f>
        <x:v>0.1549165007213113</x:v>
      </x:c>
    </x:row>
    <x:row r="96">
      <x:c r="A96" s="4"/>
      <x:c r="B96" s="4" t="str">
        <x:v>Vinto</x:v>
      </x:c>
      <x:c r="C96" s="5" t="n">
        <x:v>51968</x:v>
      </x:c>
      <x:c r="D96" s="5" t="n">
        <x:v>55010.68601929336</x:v>
      </x:c>
      <x:c r="E96" s="5" t="n">
        <x:v>56064</x:v>
      </x:c>
      <x:c r="F96" s="5" t="n">
        <x:v>59495</x:v>
      </x:c>
      <x:c r="G96" s="5" t="n">
        <x:f>F96-$D96</x:f>
        <x:v>4484.31398070664</x:v>
      </x:c>
      <x:c r="H96" s="6" t="n">
        <x:f>G96/$D96</x:f>
        <x:v>0.08151714339890072</x:v>
      </x:c>
      <x:c r="I96" s="5" t="n">
        <x:f>ABS(G96)</x:f>
        <x:v>4484.31398070664</x:v>
      </x:c>
      <x:c r="J96" s="6" t="n">
        <x:f>ABS(H96)</x:f>
        <x:v>0.08151714339890072</x:v>
      </x:c>
      <x:c r="K96" s="5" t="n">
        <x:v>54181.345931395546</x:v>
      </x:c>
      <x:c r="L96" s="5" t="n">
        <x:f>K96-$D96</x:f>
        <x:v>-829.3400878978136</x:v>
      </x:c>
      <x:c r="M96" s="6" t="n">
        <x:f>L96/$D96</x:f>
        <x:v>-0.015075981557600414</x:v>
      </x:c>
      <x:c r="N96" s="5" t="n">
        <x:f>ABS(L96)</x:f>
        <x:v>829.3400878978136</x:v>
      </x:c>
      <x:c r="O96" s="6" t="n">
        <x:f>ABS(M96)</x:f>
        <x:v>0.015075981557600414</x:v>
      </x:c>
      <x:c r="P96" s="5" t="n">
        <x:v>54152.37511802266</x:v>
      </x:c>
      <x:c r="Q96" s="5" t="n">
        <x:f>P96-$D96</x:f>
        <x:v>-858.3109012706991</x:v>
      </x:c>
      <x:c r="R96" s="6" t="n">
        <x:f>Q96/$D96</x:f>
        <x:v>-0.01560262129742705</x:v>
      </x:c>
      <x:c r="S96" s="5" t="n">
        <x:f>ABS(Q96)</x:f>
        <x:v>858.3109012706991</x:v>
      </x:c>
      <x:c r="T96" s="6" t="n">
        <x:f>ABS(R96)</x:f>
        <x:v>0.01560262129742705</x:v>
      </x:c>
    </x:row>
    <x:row r="97">
      <x:c r="A97" s="4"/>
      <x:c r="B97" s="4" t="str">
        <x:v>Achacachi</x:v>
      </x:c>
      <x:c r="C97" s="5" t="n">
        <x:v>46058</x:v>
      </x:c>
      <x:c r="D97" s="5" t="n">
        <x:v>46954.35507920208</x:v>
      </x:c>
      <x:c r="E97" s="5" t="n">
        <x:v>47257</x:v>
      </x:c>
      <x:c r="F97" s="5" t="n">
        <x:v>36361</x:v>
      </x:c>
      <x:c r="G97" s="5" t="n">
        <x:f>F97-$D97</x:f>
        <x:v>-10593.355079202083</x:v>
      </x:c>
      <x:c r="H97" s="6" t="n">
        <x:f>G97/$D97</x:f>
        <x:v>-0.2256096385805604</x:v>
      </x:c>
      <x:c r="I97" s="5" t="n">
        <x:f>ABS(G97)</x:f>
        <x:v>10593.355079202083</x:v>
      </x:c>
      <x:c r="J97" s="6" t="n">
        <x:f>ABS(H97)</x:f>
        <x:v>0.2256096385805604</x:v>
      </x:c>
      <x:c r="K97" s="5" t="n">
        <x:v>44450.98554756375</x:v>
      </x:c>
      <x:c r="L97" s="5" t="n">
        <x:f>K97-$D97</x:f>
        <x:v>-2503.369531638331</x:v>
      </x:c>
      <x:c r="M97" s="6" t="n">
        <x:f>L97/$D97</x:f>
        <x:v>-0.053314959334776826</x:v>
      </x:c>
      <x:c r="N97" s="5" t="n">
        <x:f>ABS(L97)</x:f>
        <x:v>2503.369531638331</x:v>
      </x:c>
      <x:c r="O97" s="6" t="n">
        <x:f>ABS(M97)</x:f>
        <x:v>0.053314959334776826</x:v>
      </x:c>
      <x:c r="P97" s="5" t="n">
        <x:v>53247.22661672954</x:v>
      </x:c>
      <x:c r="Q97" s="5" t="n">
        <x:f>P97-$D97</x:f>
        <x:v>6292.871537527455</x:v>
      </x:c>
      <x:c r="R97" s="6" t="n">
        <x:f>Q97/$D97</x:f>
        <x:v>0.13402104079403732</x:v>
      </x:c>
      <x:c r="S97" s="5" t="n">
        <x:f>ABS(Q97)</x:f>
        <x:v>6292.871537527455</x:v>
      </x:c>
      <x:c r="T97" s="6" t="n">
        <x:f>ABS(R97)</x:f>
        <x:v>0.13402104079403732</x:v>
      </x:c>
    </x:row>
    <x:row r="98">
      <x:c r="A98" s="4"/>
      <x:c r="B98" s="4" t="str">
        <x:v>Achocalla</x:v>
      </x:c>
      <x:c r="C98" s="5" t="n">
        <x:v>22431</x:v>
      </x:c>
      <x:c r="D98" s="5" t="n">
        <x:v>38557.514155349476</x:v>
      </x:c>
      <x:c r="E98" s="5" t="n">
        <x:v>46188</x:v>
      </x:c>
      <x:c r="F98" s="5" t="n">
        <x:v>19790</x:v>
      </x:c>
      <x:c r="G98" s="5" t="n">
        <x:f>F98-$D98</x:f>
        <x:v>-18767.514155349476</x:v>
      </x:c>
      <x:c r="H98" s="6" t="n">
        <x:f>G98/$D98</x:f>
        <x:v>-0.4867407706766197</x:v>
      </x:c>
      <x:c r="I98" s="5" t="n">
        <x:f>ABS(G98)</x:f>
        <x:v>18767.514155349476</x:v>
      </x:c>
      <x:c r="J98" s="6" t="n">
        <x:f>ABS(H98)</x:f>
        <x:v>0.4867407706766197</x:v>
      </x:c>
      <x:c r="K98" s="5" t="n">
        <x:v>15640.007545320348</x:v>
      </x:c>
      <x:c r="L98" s="5" t="n">
        <x:f>K98-$D98</x:f>
        <x:v>-22917.50661002913</x:v>
      </x:c>
      <x:c r="M98" s="6" t="n">
        <x:f>L98/$D98</x:f>
        <x:v>-0.5943719949811533</x:v>
      </x:c>
      <x:c r="N98" s="5" t="n">
        <x:f>ABS(L98)</x:f>
        <x:v>22917.50661002913</x:v>
      </x:c>
      <x:c r="O98" s="6" t="n">
        <x:f>ABS(M98)</x:f>
        <x:v>0.5943719949811533</x:v>
      </x:c>
      <x:c r="P98" s="5" t="n">
        <x:v>20563.715052861666</x:v>
      </x:c>
      <x:c r="Q98" s="5" t="n">
        <x:f>P98-$D98</x:f>
        <x:v>-17993.79910248781</x:v>
      </x:c>
      <x:c r="R98" s="6" t="n">
        <x:f>Q98/$D98</x:f>
        <x:v>-0.4666742526499558</x:v>
      </x:c>
      <x:c r="S98" s="5" t="n">
        <x:f>ABS(Q98)</x:f>
        <x:v>17993.79910248781</x:v>
      </x:c>
      <x:c r="T98" s="6" t="n">
        <x:f>ABS(R98)</x:f>
        <x:v>0.4666742526499558</x:v>
      </x:c>
    </x:row>
    <x:row r="99">
      <x:c r="A99" s="4"/>
      <x:c r="B99" s="4" t="str">
        <x:v>Alto Beni</x:v>
      </x:c>
      <x:c r="C99" s="5" t="n">
        <x:v>11194</x:v>
      </x:c>
      <x:c r="D99" s="5" t="n">
        <x:v>10734.07121820926</x:v>
      </x:c>
      <x:c r="E99" s="5" t="n">
        <x:v>10585</x:v>
      </x:c>
      <x:c r="F99" s="5" t="n">
        <x:v>8964</x:v>
      </x:c>
      <x:c r="G99" s="5" t="n">
        <x:f>F99-$D99</x:f>
        <x:v>-1770.0712182092593</x:v>
      </x:c>
      <x:c r="H99" s="6" t="n">
        <x:f>G99/$D99</x:f>
        <x:v>-0.16490213100193649</x:v>
      </x:c>
      <x:c r="I99" s="5" t="n">
        <x:f>ABS(G99)</x:f>
        <x:v>1770.0712182092593</x:v>
      </x:c>
      <x:c r="J99" s="6" t="n">
        <x:f>ABS(H99)</x:f>
        <x:v>0.16490213100193649</x:v>
      </x:c>
      <x:c r="K99" s="5" t="n">
        <x:v>10141.772228697504</x:v>
      </x:c>
      <x:c r="L99" s="5" t="n">
        <x:f>K99-$D99</x:f>
        <x:v>-592.2989895117553</x:v>
      </x:c>
      <x:c r="M99" s="6" t="n">
        <x:f>L99/$D99</x:f>
        <x:v>-0.055179342252451274</x:v>
      </x:c>
      <x:c r="N99" s="5" t="n">
        <x:f>ABS(L99)</x:f>
        <x:v>592.2989895117553</x:v>
      </x:c>
      <x:c r="O99" s="6" t="n">
        <x:f>ABS(M99)</x:f>
        <x:v>0.055179342252451274</x:v>
      </x:c>
      <x:c r="P99" s="5" t="n">
        <x:v>11210.348494670005</x:v>
      </x:c>
      <x:c r="Q99" s="5" t="n">
        <x:f>P99-$D99</x:f>
        <x:v>476.27727646074527</x:v>
      </x:c>
      <x:c r="R99" s="6" t="n">
        <x:f>Q99/$D99</x:f>
        <x:v>0.044370608949639664</x:v>
      </x:c>
      <x:c r="S99" s="5" t="n">
        <x:f>ABS(Q99)</x:f>
        <x:v>476.27727646074527</x:v>
      </x:c>
      <x:c r="T99" s="6" t="n">
        <x:f>ABS(R99)</x:f>
        <x:v>0.044370608949639664</x:v>
      </x:c>
    </x:row>
    <x:row r="100">
      <x:c r="A100" s="4"/>
      <x:c r="B100" s="4" t="str">
        <x:v>Apolo</x:v>
      </x:c>
      <x:c r="C100" s="5" t="n">
        <x:v>20308</x:v>
      </x:c>
      <x:c r="D100" s="5" t="n">
        <x:v>19437.723944461617</x:v>
      </x:c>
      <x:c r="E100" s="5" t="n">
        <x:v>19156</x:v>
      </x:c>
      <x:c r="F100" s="5" t="n">
        <x:v>17539</x:v>
      </x:c>
      <x:c r="G100" s="5" t="n">
        <x:f>F100-$D100</x:f>
        <x:v>-1898.723944461617</x:v>
      </x:c>
      <x:c r="H100" s="6" t="n">
        <x:f>G100/$D100</x:f>
        <x:v>-0.09768242155752087</x:v>
      </x:c>
      <x:c r="I100" s="5" t="n">
        <x:f>ABS(G100)</x:f>
        <x:v>1898.723944461617</x:v>
      </x:c>
      <x:c r="J100" s="6" t="n">
        <x:f>ABS(H100)</x:f>
        <x:v>0.09768242155752087</x:v>
      </x:c>
      <x:c r="K100" s="5" t="n">
        <x:v>19766.942015170203</x:v>
      </x:c>
      <x:c r="L100" s="5" t="n">
        <x:f>K100-$D100</x:f>
        <x:v>329.2180707085863</x:v>
      </x:c>
      <x:c r="M100" s="6" t="n">
        <x:f>L100/$D100</x:f>
        <x:v>0.01693706895155234</x:v>
      </x:c>
      <x:c r="N100" s="5" t="n">
        <x:f>ABS(L100)</x:f>
        <x:v>329.2180707085863</x:v>
      </x:c>
      <x:c r="O100" s="6" t="n">
        <x:f>ABS(M100)</x:f>
        <x:v>0.01693706895155234</x:v>
      </x:c>
      <x:c r="P100" s="5" t="n">
        <x:v>23484.19060923677</x:v>
      </x:c>
      <x:c r="Q100" s="5" t="n">
        <x:f>P100-$D100</x:f>
        <x:v>4046.4666647751546</x:v>
      </x:c>
      <x:c r="R100" s="6" t="n">
        <x:f>Q100/$D100</x:f>
        <x:v>0.20817595086425295</x:v>
      </x:c>
      <x:c r="S100" s="5" t="n">
        <x:f>ABS(Q100)</x:f>
        <x:v>4046.4666647751546</x:v>
      </x:c>
      <x:c r="T100" s="6" t="n">
        <x:f>ABS(R100)</x:f>
        <x:v>0.20817595086425295</x:v>
      </x:c>
    </x:row>
    <x:row r="101">
      <x:c r="A101" s="4"/>
      <x:c r="B101" s="4" t="str">
        <x:v>Aucapata</x:v>
      </x:c>
      <x:c r="C101" s="5" t="n">
        <x:v>5495</x:v>
      </x:c>
      <x:c r="D101" s="5" t="n">
        <x:v>6390.978341171758</x:v>
      </x:c>
      <x:c r="E101" s="5" t="n">
        <x:v>6721</x:v>
      </x:c>
      <x:c r="F101" s="5" t="n">
        <x:v>6734</x:v>
      </x:c>
      <x:c r="G101" s="5" t="n">
        <x:f>F101-$D101</x:f>
        <x:v>343.0216588282419</x:v>
      </x:c>
      <x:c r="H101" s="6" t="n">
        <x:f>G101/$D101</x:f>
        <x:v>0.05367279319637788</x:v>
      </x:c>
      <x:c r="I101" s="5" t="n">
        <x:f>ABS(G101)</x:f>
        <x:v>343.0216588282419</x:v>
      </x:c>
      <x:c r="J101" s="6" t="n">
        <x:f>ABS(H101)</x:f>
        <x:v>0.05367279319637788</x:v>
      </x:c>
      <x:c r="K101" s="5" t="n">
        <x:v>5034.758015433506</x:v>
      </x:c>
      <x:c r="L101" s="5" t="n">
        <x:f>K101-$D101</x:f>
        <x:v>-1356.2203257382516</x:v>
      </x:c>
      <x:c r="M101" s="6" t="n">
        <x:f>L101/$D101</x:f>
        <x:v>-0.2122085623418956</x:v>
      </x:c>
      <x:c r="N101" s="5" t="n">
        <x:f>ABS(L101)</x:f>
        <x:v>1356.2203257382516</x:v>
      </x:c>
      <x:c r="O101" s="6" t="n">
        <x:f>ABS(M101)</x:f>
        <x:v>0.2122085623418956</x:v>
      </x:c>
      <x:c r="P101" s="5" t="n">
        <x:v>6410.058865905026</x:v>
      </x:c>
      <x:c r="Q101" s="5" t="n">
        <x:f>P101-$D101</x:f>
        <x:v>19.08052473326825</x:v>
      </x:c>
      <x:c r="R101" s="6" t="n">
        <x:f>Q101/$D101</x:f>
        <x:v>0.0029855405095567757</x:v>
      </x:c>
      <x:c r="S101" s="5" t="n">
        <x:f>ABS(Q101)</x:f>
        <x:v>19.08052473326825</x:v>
      </x:c>
      <x:c r="T101" s="6" t="n">
        <x:f>ABS(R101)</x:f>
        <x:v>0.0029855405095567757</x:v>
      </x:c>
    </x:row>
    <x:row r="102">
      <x:c r="A102" s="4"/>
      <x:c r="B102" s="4" t="str">
        <x:v>Ayata</x:v>
      </x:c>
      <x:c r="C102" s="5" t="n">
        <x:v>8410</x:v>
      </x:c>
      <x:c r="D102" s="5" t="n">
        <x:v>8870.104548367797</x:v>
      </x:c>
      <x:c r="E102" s="5" t="n">
        <x:v>9029</x:v>
      </x:c>
      <x:c r="F102" s="5" t="n">
        <x:v>8452</x:v>
      </x:c>
      <x:c r="G102" s="5" t="n">
        <x:f>F102-$D102</x:f>
        <x:v>-418.1045483677972</x:v>
      </x:c>
      <x:c r="H102" s="6" t="n">
        <x:f>G102/$D102</x:f>
        <x:v>-0.04713637207858314</x:v>
      </x:c>
      <x:c r="I102" s="5" t="n">
        <x:f>ABS(G102)</x:f>
        <x:v>418.1045483677972</x:v>
      </x:c>
      <x:c r="J102" s="6" t="n">
        <x:f>ABS(H102)</x:f>
        <x:v>0.04713637207858314</x:v>
      </x:c>
      <x:c r="K102" s="5" t="n">
        <x:v>8503.715893513097</x:v>
      </x:c>
      <x:c r="L102" s="5" t="n">
        <x:f>K102-$D102</x:f>
        <x:v>-366.3886548546998</x:v>
      </x:c>
      <x:c r="M102" s="6" t="n">
        <x:f>L102/$D102</x:f>
        <x:v>-0.04130601312045635</x:v>
      </x:c>
      <x:c r="N102" s="5" t="n">
        <x:f>ABS(L102)</x:f>
        <x:v>366.3886548546998</x:v>
      </x:c>
      <x:c r="O102" s="6" t="n">
        <x:f>ABS(M102)</x:f>
        <x:v>0.04130601312045635</x:v>
      </x:c>
      <x:c r="P102" s="5" t="n">
        <x:v>9663.798845041398</x:v>
      </x:c>
      <x:c r="Q102" s="5" t="n">
        <x:f>P102-$D102</x:f>
        <x:v>793.6942966736005</x:v>
      </x:c>
      <x:c r="R102" s="6" t="n">
        <x:f>Q102/$D102</x:f>
        <x:v>0.08947970030631144</x:v>
      </x:c>
      <x:c r="S102" s="5" t="n">
        <x:f>ABS(Q102)</x:f>
        <x:v>793.6942966736005</x:v>
      </x:c>
      <x:c r="T102" s="6" t="n">
        <x:f>ABS(R102)</x:f>
        <x:v>0.08947970030631144</x:v>
      </x:c>
    </x:row>
    <x:row r="103">
      <x:c r="A103" s="4"/>
      <x:c r="B103" s="4" t="str">
        <x:v>Ayo Ayo</x:v>
      </x:c>
      <x:c r="C103" s="5" t="n">
        <x:v>7798</x:v>
      </x:c>
      <x:c r="D103" s="5" t="n">
        <x:v>10270.503642683942</x:v>
      </x:c>
      <x:c r="E103" s="5" t="n">
        <x:v>11258</x:v>
      </x:c>
      <x:c r="F103" s="5" t="n">
        <x:v>8321</x:v>
      </x:c>
      <x:c r="G103" s="5" t="n">
        <x:f>F103-$D103</x:f>
        <x:v>-1949.5036426839415</x:v>
      </x:c>
      <x:c r="H103" s="6" t="n">
        <x:f>G103/$D103</x:f>
        <x:v>-0.1898157783209244</x:v>
      </x:c>
      <x:c r="I103" s="5" t="n">
        <x:f>ABS(G103)</x:f>
        <x:v>1949.5036426839415</x:v>
      </x:c>
      <x:c r="J103" s="6" t="n">
        <x:f>ABS(H103)</x:f>
        <x:v>0.1898157783209244</x:v>
      </x:c>
      <x:c r="K103" s="5" t="n">
        <x:v>6129.638062519749</x:v>
      </x:c>
      <x:c r="L103" s="5" t="n">
        <x:f>K103-$D103</x:f>
        <x:v>-4140.865580164193</x:v>
      </x:c>
      <x:c r="M103" s="6" t="n">
        <x:f>L103/$D103</x:f>
        <x:v>-0.40318038182225696</x:v>
      </x:c>
      <x:c r="N103" s="5" t="n">
        <x:f>ABS(L103)</x:f>
        <x:v>4140.865580164193</x:v>
      </x:c>
      <x:c r="O103" s="6" t="n">
        <x:f>ABS(M103)</x:f>
        <x:v>0.40318038182225696</x:v>
      </x:c>
      <x:c r="P103" s="5" t="n">
        <x:v>10348.275246554897</x:v>
      </x:c>
      <x:c r="Q103" s="5" t="n">
        <x:f>P103-$D103</x:f>
        <x:v>77.771603870955</x:v>
      </x:c>
      <x:c r="R103" s="6" t="n">
        <x:f>Q103/$D103</x:f>
        <x:v>0.0075723262048940105</x:v>
      </x:c>
      <x:c r="S103" s="5" t="n">
        <x:f>ABS(Q103)</x:f>
        <x:v>77.771603870955</x:v>
      </x:c>
      <x:c r="T103" s="6" t="n">
        <x:f>ABS(R103)</x:f>
        <x:v>0.0075723262048940105</x:v>
      </x:c>
    </x:row>
    <x:row r="104">
      <x:c r="A104" s="4"/>
      <x:c r="B104" s="4" t="str">
        <x:v>Batallas</x:v>
      </x:c>
      <x:c r="C104" s="5" t="n">
        <x:v>17426</x:v>
      </x:c>
      <x:c r="D104" s="5" t="n">
        <x:v>19761.072237465443</x:v>
      </x:c>
      <x:c r="E104" s="5" t="n">
        <x:v>20607</x:v>
      </x:c>
      <x:c r="F104" s="5" t="n">
        <x:v>15009</x:v>
      </x:c>
      <x:c r="G104" s="5" t="n">
        <x:f>F104-$D104</x:f>
        <x:v>-4752.072237465443</x:v>
      </x:c>
      <x:c r="H104" s="6" t="n">
        <x:f>G104/$D104</x:f>
        <x:v>-0.2404764367216819</x:v>
      </x:c>
      <x:c r="I104" s="5" t="n">
        <x:f>ABS(G104)</x:f>
        <x:v>4752.072237465443</x:v>
      </x:c>
      <x:c r="J104" s="6" t="n">
        <x:f>ABS(H104)</x:f>
        <x:v>0.2404764367216819</x:v>
      </x:c>
      <x:c r="K104" s="5" t="n">
        <x:v>19697.94043869493</x:v>
      </x:c>
      <x:c r="L104" s="5" t="n">
        <x:f>K104-$D104</x:f>
        <x:v>-63.13179877051152</x:v>
      </x:c>
      <x:c r="M104" s="6" t="n">
        <x:f>L104/$D104</x:f>
        <x:v>-0.0031947557304516394</x:v>
      </x:c>
      <x:c r="N104" s="5" t="n">
        <x:f>ABS(L104)</x:f>
        <x:v>63.13179877051152</x:v>
      </x:c>
      <x:c r="O104" s="6" t="n">
        <x:f>ABS(M104)</x:f>
        <x:v>0.0031947557304516394</x:v>
      </x:c>
      <x:c r="P104" s="5" t="n">
        <x:v>19759.488442936563</x:v>
      </x:c>
      <x:c r="Q104" s="5" t="n">
        <x:f>P104-$D104</x:f>
        <x:v>-1.5837945288803894</x:v>
      </x:c>
      <x:c r="R104" s="6" t="n">
        <x:f>Q104/$D104</x:f>
        <x:v>-0.00008014719595415674</x:v>
      </x:c>
      <x:c r="S104" s="5" t="n">
        <x:f>ABS(Q104)</x:f>
        <x:v>1.5837945288803894</x:v>
      </x:c>
      <x:c r="T104" s="6" t="n">
        <x:f>ABS(R104)</x:f>
        <x:v>0.00008014719595415674</x:v>
      </x:c>
    </x:row>
    <x:row r="105">
      <x:c r="A105" s="4"/>
      <x:c r="B105" s="4" t="str">
        <x:v>Cairoma</x:v>
      </x:c>
      <x:c r="C105" s="5" t="n">
        <x:v>11355</x:v>
      </x:c>
      <x:c r="D105" s="5" t="n">
        <x:v>12998.794029769124</x:v>
      </x:c>
      <x:c r="E105" s="5" t="n">
        <x:v>13598</x:v>
      </x:c>
      <x:c r="F105" s="5" t="n">
        <x:v>9768</x:v>
      </x:c>
      <x:c r="G105" s="5" t="n">
        <x:f>F105-$D105</x:f>
        <x:v>-3230.794029769124</x:v>
      </x:c>
      <x:c r="H105" s="6" t="n">
        <x:f>G105/$D105</x:f>
        <x:v>-0.2485456744964292</x:v>
      </x:c>
      <x:c r="I105" s="5" t="n">
        <x:f>ABS(G105)</x:f>
        <x:v>3230.794029769124</x:v>
      </x:c>
      <x:c r="J105" s="6" t="n">
        <x:f>ABS(H105)</x:f>
        <x:v>0.2485456744964292</x:v>
      </x:c>
      <x:c r="K105" s="5" t="n">
        <x:v>11778.13884117773</x:v>
      </x:c>
      <x:c r="L105" s="5" t="n">
        <x:f>K105-$D105</x:f>
        <x:v>-1220.655188591394</x:v>
      </x:c>
      <x:c r="M105" s="6" t="n">
        <x:f>L105/$D105</x:f>
        <x:v>-0.09390526427266381</x:v>
      </x:c>
      <x:c r="N105" s="5" t="n">
        <x:f>ABS(L105)</x:f>
        <x:v>1220.655188591394</x:v>
      </x:c>
      <x:c r="O105" s="6" t="n">
        <x:f>ABS(M105)</x:f>
        <x:v>0.09390526427266381</x:v>
      </x:c>
      <x:c r="P105" s="5" t="n">
        <x:v>14163.377506309906</x:v>
      </x:c>
      <x:c r="Q105" s="5" t="n">
        <x:f>P105-$D105</x:f>
        <x:v>1164.5834765407817</x:v>
      </x:c>
      <x:c r="R105" s="6" t="n">
        <x:f>Q105/$D105</x:f>
        <x:v>0.08959165549309549</x:v>
      </x:c>
      <x:c r="S105" s="5" t="n">
        <x:f>ABS(Q105)</x:f>
        <x:v>1164.5834765407817</x:v>
      </x:c>
      <x:c r="T105" s="6" t="n">
        <x:f>ABS(R105)</x:f>
        <x:v>0.08959165549309549</x:v>
      </x:c>
    </x:row>
    <x:row r="106">
      <x:c r="A106" s="4"/>
      <x:c r="B106" s="4" t="str">
        <x:v>Cajuata</x:v>
      </x:c>
      <x:c r="C106" s="5" t="n">
        <x:v>10458</x:v>
      </x:c>
      <x:c r="D106" s="5" t="n">
        <x:v>14092.04440935459</x:v>
      </x:c>
      <x:c r="E106" s="5" t="n">
        <x:v>15565</x:v>
      </x:c>
      <x:c r="F106" s="5" t="n">
        <x:v>10541</x:v>
      </x:c>
      <x:c r="G106" s="5" t="n">
        <x:f>F106-$D106</x:f>
        <x:v>-3551.0444093545902</x:v>
      </x:c>
      <x:c r="H106" s="6" t="n">
        <x:f>G106/$D106</x:f>
        <x:v>-0.2519893002180247</x:v>
      </x:c>
      <x:c r="I106" s="5" t="n">
        <x:f>ABS(G106)</x:f>
        <x:v>3551.0444093545902</x:v>
      </x:c>
      <x:c r="J106" s="6" t="n">
        <x:f>ABS(H106)</x:f>
        <x:v>0.2519893002180247</x:v>
      </x:c>
      <x:c r="K106" s="5" t="n">
        <x:v>10833.410075325512</x:v>
      </x:c>
      <x:c r="L106" s="5" t="n">
        <x:f>K106-$D106</x:f>
        <x:v>-3258.6343340290787</x:v>
      </x:c>
      <x:c r="M106" s="6" t="n">
        <x:f>L106/$D106</x:f>
        <x:v>-0.23123928930183685</x:v>
      </x:c>
      <x:c r="N106" s="5" t="n">
        <x:f>ABS(L106)</x:f>
        <x:v>3258.6343340290787</x:v>
      </x:c>
      <x:c r="O106" s="6" t="n">
        <x:f>ABS(M106)</x:f>
        <x:v>0.23123928930183685</x:v>
      </x:c>
      <x:c r="P106" s="5" t="n">
        <x:v>11569.459612804058</x:v>
      </x:c>
      <x:c r="Q106" s="5" t="n">
        <x:f>P106-$D106</x:f>
        <x:v>-2522.5847965505327</x:v>
      </x:c>
      <x:c r="R106" s="6" t="n">
        <x:f>Q106/$D106</x:f>
        <x:v>-0.17900772402306572</x:v>
      </x:c>
      <x:c r="S106" s="5" t="n">
        <x:f>ABS(Q106)</x:f>
        <x:v>2522.5847965505327</x:v>
      </x:c>
      <x:c r="T106" s="6" t="n">
        <x:f>ABS(R106)</x:f>
        <x:v>0.17900772402306572</x:v>
      </x:c>
    </x:row>
    <x:row r="107">
      <x:c r="A107" s="4"/>
      <x:c r="B107" s="4" t="str">
        <x:v>Calacoto</x:v>
      </x:c>
      <x:c r="C107" s="5" t="n">
        <x:v>9879</x:v>
      </x:c>
      <x:c r="D107" s="5" t="n">
        <x:v>11586.572806788918</x:v>
      </x:c>
      <x:c r="E107" s="5" t="n">
        <x:v>12219</x:v>
      </x:c>
      <x:c r="F107" s="5" t="n">
        <x:v>7958</x:v>
      </x:c>
      <x:c r="G107" s="5" t="n">
        <x:f>F107-$D107</x:f>
        <x:v>-3628.5728067889177</x:v>
      </x:c>
      <x:c r="H107" s="6" t="n">
        <x:f>G107/$D107</x:f>
        <x:v>-0.3131705006559687</x:v>
      </x:c>
      <x:c r="I107" s="5" t="n">
        <x:f>ABS(G107)</x:f>
        <x:v>3628.5728067889177</x:v>
      </x:c>
      <x:c r="J107" s="6" t="n">
        <x:f>ABS(H107)</x:f>
        <x:v>0.3131705006559687</x:v>
      </x:c>
      <x:c r="K107" s="5" t="n">
        <x:v>16437.866818776707</x:v>
      </x:c>
      <x:c r="L107" s="5" t="n">
        <x:f>K107-$D107</x:f>
        <x:v>4851.294011987789</x:v>
      </x:c>
      <x:c r="M107" s="6" t="n">
        <x:f>L107/$D107</x:f>
        <x:v>0.4186996528555253</x:v>
      </x:c>
      <x:c r="N107" s="5" t="n">
        <x:f>ABS(L107)</x:f>
        <x:v>4851.294011987789</x:v>
      </x:c>
      <x:c r="O107" s="6" t="n">
        <x:f>ABS(M107)</x:f>
        <x:v>0.4186996528555253</x:v>
      </x:c>
      <x:c r="P107" s="5" t="n">
        <x:v>7603.489312051031</x:v>
      </x:c>
      <x:c r="Q107" s="5" t="n">
        <x:f>P107-$D107</x:f>
        <x:v>-3983.083494737886</x:v>
      </x:c>
      <x:c r="R107" s="6" t="n">
        <x:f>Q107/$D107</x:f>
        <x:v>-0.3437671830279338</x:v>
      </x:c>
      <x:c r="S107" s="5" t="n">
        <x:f>ABS(Q107)</x:f>
        <x:v>3983.083494737886</x:v>
      </x:c>
      <x:c r="T107" s="6" t="n">
        <x:f>ABS(R107)</x:f>
        <x:v>0.3437671830279338</x:v>
      </x:c>
    </x:row>
    <x:row r="108">
      <x:c r="A108" s="4"/>
      <x:c r="B108" s="4" t="str">
        <x:v>Calamarca</x:v>
      </x:c>
      <x:c r="C108" s="5" t="n">
        <x:v>12413</x:v>
      </x:c>
      <x:c r="D108" s="5" t="n">
        <x:v>14539.921335768953</x:v>
      </x:c>
      <x:c r="E108" s="5" t="n">
        <x:v>15327</x:v>
      </x:c>
      <x:c r="F108" s="5" t="n">
        <x:v>10921</x:v>
      </x:c>
      <x:c r="G108" s="5" t="n">
        <x:f>F108-$D108</x:f>
        <x:v>-3618.921335768953</x:v>
      </x:c>
      <x:c r="H108" s="6" t="n">
        <x:f>G108/$D108</x:f>
        <x:v>-0.24889552372379214</x:v>
      </x:c>
      <x:c r="I108" s="5" t="n">
        <x:f>ABS(G108)</x:f>
        <x:v>3618.921335768953</x:v>
      </x:c>
      <x:c r="J108" s="6" t="n">
        <x:f>ABS(H108)</x:f>
        <x:v>0.24889552372379214</x:v>
      </x:c>
      <x:c r="K108" s="5" t="n">
        <x:v>10605.410357588142</x:v>
      </x:c>
      <x:c r="L108" s="5" t="n">
        <x:f>K108-$D108</x:f>
        <x:v>-3934.5109781808114</x:v>
      </x:c>
      <x:c r="M108" s="6" t="n">
        <x:f>L108/$D108</x:f>
        <x:v>-0.2706005684158492</x:v>
      </x:c>
      <x:c r="N108" s="5" t="n">
        <x:f>ABS(L108)</x:f>
        <x:v>3934.5109781808114</x:v>
      </x:c>
      <x:c r="O108" s="6" t="n">
        <x:f>ABS(M108)</x:f>
        <x:v>0.2706005684158492</x:v>
      </x:c>
      <x:c r="P108" s="5" t="n">
        <x:v>13856.739647394184</x:v>
      </x:c>
      <x:c r="Q108" s="5" t="n">
        <x:f>P108-$D108</x:f>
        <x:v>-683.1816883747688</x:v>
      </x:c>
      <x:c r="R108" s="6" t="n">
        <x:f>Q108/$D108</x:f>
        <x:v>-0.046986615167862476</x:v>
      </x:c>
      <x:c r="S108" s="5" t="n">
        <x:f>ABS(Q108)</x:f>
        <x:v>683.1816883747688</x:v>
      </x:c>
      <x:c r="T108" s="6" t="n">
        <x:f>ABS(R108)</x:f>
        <x:v>0.046986615167862476</x:v>
      </x:c>
    </x:row>
    <x:row r="109">
      <x:c r="A109" s="4"/>
      <x:c r="B109" s="4" t="str">
        <x:v>Caquiaviri</x:v>
      </x:c>
      <x:c r="C109" s="5" t="n">
        <x:v>14687</x:v>
      </x:c>
      <x:c r="D109" s="5" t="n">
        <x:v>15344.393708097212</x:v>
      </x:c>
      <x:c r="E109" s="5" t="n">
        <x:v>15570</x:v>
      </x:c>
      <x:c r="F109" s="5" t="n">
        <x:v>10888</x:v>
      </x:c>
      <x:c r="G109" s="5" t="n">
        <x:f>F109-$D109</x:f>
        <x:v>-4456.393708097212</x:v>
      </x:c>
      <x:c r="H109" s="6" t="n">
        <x:f>G109/$D109</x:f>
        <x:v>-0.2904248804399212</x:v>
      </x:c>
      <x:c r="I109" s="5" t="n">
        <x:f>ABS(G109)</x:f>
        <x:v>4456.393708097212</x:v>
      </x:c>
      <x:c r="J109" s="6" t="n">
        <x:f>ABS(H109)</x:f>
        <x:v>0.2904248804399212</x:v>
      </x:c>
      <x:c r="K109" s="5" t="n">
        <x:v>13486.32243770753</x:v>
      </x:c>
      <x:c r="L109" s="5" t="n">
        <x:f>K109-$D109</x:f>
        <x:v>-1858.0712703896825</x:v>
      </x:c>
      <x:c r="M109" s="6" t="n">
        <x:f>L109/$D109</x:f>
        <x:v>-0.12109121453323902</x:v>
      </x:c>
      <x:c r="N109" s="5" t="n">
        <x:f>ABS(L109)</x:f>
        <x:v>1858.0712703896825</x:v>
      </x:c>
      <x:c r="O109" s="6" t="n">
        <x:f>ABS(M109)</x:f>
        <x:v>0.12109121453323902</x:v>
      </x:c>
      <x:c r="P109" s="5" t="n">
        <x:v>16492.205259600676</x:v>
      </x:c>
      <x:c r="Q109" s="5" t="n">
        <x:f>P109-$D109</x:f>
        <x:v>1147.8115515034642</x:v>
      </x:c>
      <x:c r="R109" s="6" t="n">
        <x:f>Q109/$D109</x:f>
        <x:v>0.07480331731176618</x:v>
      </x:c>
      <x:c r="S109" s="5" t="n">
        <x:f>ABS(Q109)</x:f>
        <x:v>1147.8115515034642</x:v>
      </x:c>
      <x:c r="T109" s="6" t="n">
        <x:f>ABS(R109)</x:f>
        <x:v>0.07480331731176618</x:v>
      </x:c>
    </x:row>
    <x:row r="110">
      <x:c r="A110" s="4"/>
      <x:c r="B110" s="4" t="str">
        <x:v>Caranavi</x:v>
      </x:c>
      <x:c r="C110" s="5" t="n">
        <x:v>50330</x:v>
      </x:c>
      <x:c r="D110" s="5" t="n">
        <x:v>57188.211091053905</x:v>
      </x:c>
      <x:c r="E110" s="5" t="n">
        <x:v>59676</x:v>
      </x:c>
      <x:c r="F110" s="5" t="n">
        <x:v>45628</x:v>
      </x:c>
      <x:c r="G110" s="5" t="n">
        <x:f>F110-$D110</x:f>
        <x:v>-11560.211091053905</x:v>
      </x:c>
      <x:c r="H110" s="6" t="n">
        <x:f>G110/$D110</x:f>
        <x:v>-0.20214325418656603</x:v>
      </x:c>
      <x:c r="I110" s="5" t="n">
        <x:f>ABS(G110)</x:f>
        <x:v>11560.211091053905</x:v>
      </x:c>
      <x:c r="J110" s="6" t="n">
        <x:f>ABS(H110)</x:f>
        <x:v>0.20214325418656603</x:v>
      </x:c>
      <x:c r="K110" s="5" t="n">
        <x:v>52271.5658817149</x:v>
      </x:c>
      <x:c r="L110" s="5" t="n">
        <x:f>K110-$D110</x:f>
        <x:v>-4916.6452093390035</x:v>
      </x:c>
      <x:c r="M110" s="6" t="n">
        <x:f>L110/$D110</x:f>
        <x:v>-0.0859730548575968</x:v>
      </x:c>
      <x:c r="N110" s="5" t="n">
        <x:f>ABS(L110)</x:f>
        <x:v>4916.6452093390035</x:v>
      </x:c>
      <x:c r="O110" s="6" t="n">
        <x:f>ABS(M110)</x:f>
        <x:v>0.0859730548575968</x:v>
      </x:c>
      <x:c r="P110" s="5" t="n">
        <x:v>56774.72932971144</x:v>
      </x:c>
      <x:c r="Q110" s="5" t="n">
        <x:f>P110-$D110</x:f>
        <x:v>-413.4817613424675</x:v>
      </x:c>
      <x:c r="R110" s="6" t="n">
        <x:f>Q110/$D110</x:f>
        <x:v>-0.0072301922625998966</x:v>
      </x:c>
      <x:c r="S110" s="5" t="n">
        <x:f>ABS(Q110)</x:f>
        <x:v>413.4817613424675</x:v>
      </x:c>
      <x:c r="T110" s="6" t="n">
        <x:f>ABS(R110)</x:f>
        <x:v>0.0072301922625998966</x:v>
      </x:c>
    </x:row>
    <x:row r="111">
      <x:c r="A111" s="4"/>
      <x:c r="B111" s="4" t="str">
        <x:v>Catacora</x:v>
      </x:c>
      <x:c r="C111" s="5" t="n">
        <x:v>2881</x:v>
      </x:c>
      <x:c r="D111" s="5" t="n">
        <x:v>4583.656117139762</x:v>
      </x:c>
      <x:c r="E111" s="5" t="n">
        <x:v>5351</x:v>
      </x:c>
      <x:c r="F111" s="5" t="n">
        <x:v>1771</x:v>
      </x:c>
      <x:c r="G111" s="5" t="n">
        <x:f>F111-$D111</x:f>
        <x:v>-2812.6561171397616</x:v>
      </x:c>
      <x:c r="H111" s="6" t="n">
        <x:f>G111/$D111</x:f>
        <x:v>-0.6136272105192049</x:v>
      </x:c>
      <x:c r="I111" s="5" t="n">
        <x:f>ABS(G111)</x:f>
        <x:v>2812.6561171397616</x:v>
      </x:c>
      <x:c r="J111" s="6" t="n">
        <x:f>ABS(H111)</x:f>
        <x:v>0.6136272105192049</x:v>
      </x:c>
      <x:c r="K111" s="5" t="n">
        <x:v>2868.443577466866</x:v>
      </x:c>
      <x:c r="L111" s="5" t="n">
        <x:f>K111-$D111</x:f>
        <x:v>-1715.2125396728957</x:v>
      </x:c>
      <x:c r="M111" s="6" t="n">
        <x:f>L111/$D111</x:f>
        <x:v>-0.37420183710099136</x:v>
      </x:c>
      <x:c r="N111" s="5" t="n">
        <x:f>ABS(L111)</x:f>
        <x:v>1715.2125396728957</x:v>
      </x:c>
      <x:c r="O111" s="6" t="n">
        <x:f>ABS(M111)</x:f>
        <x:v>0.37420183710099136</x:v>
      </x:c>
      <x:c r="P111" s="5" t="n">
        <x:v>3266.256979955884</x:v>
      </x:c>
      <x:c r="Q111" s="5" t="n">
        <x:f>P111-$D111</x:f>
        <x:v>-1317.3991371838774</x:v>
      </x:c>
      <x:c r="R111" s="6" t="n">
        <x:f>Q111/$D111</x:f>
        <x:v>-0.2874122978505519</x:v>
      </x:c>
      <x:c r="S111" s="5" t="n">
        <x:f>ABS(Q111)</x:f>
        <x:v>1317.3991371838774</x:v>
      </x:c>
      <x:c r="T111" s="6" t="n">
        <x:f>ABS(R111)</x:f>
        <x:v>0.2874122978505519</x:v>
      </x:c>
    </x:row>
    <x:row r="112">
      <x:c r="A112" s="4"/>
      <x:c r="B112" s="4" t="str">
        <x:v>Chacarilla</x:v>
      </x:c>
      <x:c r="C112" s="5" t="n">
        <x:v>2004</x:v>
      </x:c>
      <x:c r="D112" s="5" t="n">
        <x:v>2039.893276990796</x:v>
      </x:c>
      <x:c r="E112" s="5" t="n">
        <x:v>2052</x:v>
      </x:c>
      <x:c r="F112" s="5" t="n">
        <x:v>2259</x:v>
      </x:c>
      <x:c r="G112" s="5" t="n">
        <x:f>F112-$D112</x:f>
        <x:v>219.10672300920396</x:v>
      </x:c>
      <x:c r="H112" s="6" t="n">
        <x:f>G112/$D112</x:f>
        <x:v>0.10741087559856327</x:v>
      </x:c>
      <x:c r="I112" s="5" t="n">
        <x:f>ABS(G112)</x:f>
        <x:v>219.10672300920396</x:v>
      </x:c>
      <x:c r="J112" s="6" t="n">
        <x:f>ABS(H112)</x:f>
        <x:v>0.10741087559856327</x:v>
      </x:c>
      <x:c r="K112" s="5" t="n">
        <x:v>1443.3644373217055</x:v>
      </x:c>
      <x:c r="L112" s="5" t="n">
        <x:f>K112-$D112</x:f>
        <x:v>-596.5288396690905</x:v>
      </x:c>
      <x:c r="M112" s="6" t="n">
        <x:f>L112/$D112</x:f>
        <x:v>-0.2924313964841711</x:v>
      </x:c>
      <x:c r="N112" s="5" t="n">
        <x:f>ABS(L112)</x:f>
        <x:v>596.5288396690905</x:v>
      </x:c>
      <x:c r="O112" s="6" t="n">
        <x:f>ABS(M112)</x:f>
        <x:v>0.2924313964841711</x:v>
      </x:c>
      <x:c r="P112" s="5" t="n">
        <x:v>1368.3738872205158</x:v>
      </x:c>
      <x:c r="Q112" s="5" t="n">
        <x:f>P112-$D112</x:f>
        <x:v>-671.5193897702802</x:v>
      </x:c>
      <x:c r="R112" s="6" t="n">
        <x:f>Q112/$D112</x:f>
        <x:v>-0.3291933932744218</x:v>
      </x:c>
      <x:c r="S112" s="5" t="n">
        <x:f>ABS(Q112)</x:f>
        <x:v>671.5193897702802</x:v>
      </x:c>
      <x:c r="T112" s="6" t="n">
        <x:f>ABS(R112)</x:f>
        <x:v>0.3291933932744218</x:v>
      </x:c>
    </x:row>
    <x:row r="113">
      <x:c r="A113" s="4"/>
      <x:c r="B113" s="4" t="str">
        <x:v>Charazani</x:v>
      </x:c>
      <x:c r="C113" s="5" t="n">
        <x:v>13023</x:v>
      </x:c>
      <x:c r="D113" s="5" t="n">
        <x:v>15028.198292281306</x:v>
      </x:c>
      <x:c r="E113" s="5" t="n">
        <x:v>15763</x:v>
      </x:c>
      <x:c r="F113" s="5" t="n">
        <x:v>9383</x:v>
      </x:c>
      <x:c r="G113" s="5" t="n">
        <x:f>F113-$D113</x:f>
        <x:v>-5645.198292281306</x:v>
      </x:c>
      <x:c r="H113" s="6" t="n">
        <x:f>G113/$D113</x:f>
        <x:v>-0.37564039164832946</x:v>
      </x:c>
      <x:c r="I113" s="5" t="n">
        <x:f>ABS(G113)</x:f>
        <x:v>5645.198292281306</x:v>
      </x:c>
      <x:c r="J113" s="6" t="n">
        <x:f>ABS(H113)</x:f>
        <x:v>0.37564039164832946</x:v>
      </x:c>
      <x:c r="K113" s="5" t="n">
        <x:v>15093.593326573477</x:v>
      </x:c>
      <x:c r="L113" s="5" t="n">
        <x:f>K113-$D113</x:f>
        <x:v>65.39503429217075</x:v>
      </x:c>
      <x:c r="M113" s="6" t="n">
        <x:f>L113/$D113</x:f>
        <x:v>0.004351488649558115</x:v>
      </x:c>
      <x:c r="N113" s="5" t="n">
        <x:f>ABS(L113)</x:f>
        <x:v>65.39503429217075</x:v>
      </x:c>
      <x:c r="O113" s="6" t="n">
        <x:f>ABS(M113)</x:f>
        <x:v>0.004351488649558115</x:v>
      </x:c>
      <x:c r="P113" s="5" t="n">
        <x:v>14864.401484772769</x:v>
      </x:c>
      <x:c r="Q113" s="5" t="n">
        <x:f>P113-$D113</x:f>
        <x:v>-163.7968075085373</x:v>
      </x:c>
      <x:c r="R113" s="6" t="n">
        <x:f>Q113/$D113</x:f>
        <x:v>-0.010899297728368786</x:v>
      </x:c>
      <x:c r="S113" s="5" t="n">
        <x:f>ABS(Q113)</x:f>
        <x:v>163.7968075085373</x:v>
      </x:c>
      <x:c r="T113" s="6" t="n">
        <x:f>ABS(R113)</x:f>
        <x:v>0.010899297728368786</x:v>
      </x:c>
    </x:row>
    <x:row r="114">
      <x:c r="A114" s="4"/>
      <x:c r="B114" s="4" t="str">
        <x:v>Charaña</x:v>
      </x:c>
      <x:c r="C114" s="5" t="n">
        <x:v>3246</x:v>
      </x:c>
      <x:c r="D114" s="5" t="n">
        <x:v>3952.7435892979047</x:v>
      </x:c>
      <x:c r="E114" s="5" t="n">
        <x:v>4221</x:v>
      </x:c>
      <x:c r="F114" s="5" t="n">
        <x:v>4701</x:v>
      </x:c>
      <x:c r="G114" s="5" t="n">
        <x:f>F114-$D114</x:f>
        <x:v>748.2564107020953</x:v>
      </x:c>
      <x:c r="H114" s="6" t="n">
        <x:f>G114/$D114</x:f>
        <x:v>0.18930051843686688</x:v>
      </x:c>
      <x:c r="I114" s="5" t="n">
        <x:f>ABS(G114)</x:f>
        <x:v>748.2564107020953</x:v>
      </x:c>
      <x:c r="J114" s="6" t="n">
        <x:f>ABS(H114)</x:f>
        <x:v>0.18930051843686688</x:v>
      </x:c>
      <x:c r="K114" s="5" t="n">
        <x:v>10139.145878359075</x:v>
      </x:c>
      <x:c r="L114" s="5" t="n">
        <x:f>K114-$D114</x:f>
        <x:v>6186.40228906117</x:v>
      </x:c>
      <x:c r="M114" s="6" t="n">
        <x:f>L114/$D114</x:f>
        <x:v>1.565090714664852</x:v>
      </x:c>
      <x:c r="N114" s="5" t="n">
        <x:f>ABS(L114)</x:f>
        <x:v>6186.40228906117</x:v>
      </x:c>
      <x:c r="O114" s="6" t="n">
        <x:f>ABS(M114)</x:f>
        <x:v>1.565090714664852</x:v>
      </x:c>
      <x:c r="P114" s="5" t="n">
        <x:v>2446.453970139075</x:v>
      </x:c>
      <x:c r="Q114" s="5" t="n">
        <x:f>P114-$D114</x:f>
        <x:v>-1506.2896191588297</x:v>
      </x:c>
      <x:c r="R114" s="6" t="n">
        <x:f>Q114/$D114</x:f>
        <x:v>-0.381074457558321</x:v>
      </x:c>
      <x:c r="S114" s="5" t="n">
        <x:f>ABS(Q114)</x:f>
        <x:v>1506.2896191588297</x:v>
      </x:c>
      <x:c r="T114" s="6" t="n">
        <x:f>ABS(R114)</x:f>
        <x:v>0.381074457558321</x:v>
      </x:c>
    </x:row>
    <x:row r="115">
      <x:c r="A115" s="4"/>
      <x:c r="B115" s="4" t="str">
        <x:v>Chua Cocani</x:v>
      </x:c>
      <x:c r="C115" s="5" t="n">
        <x:v>5003</x:v>
      </x:c>
      <x:c r="D115" s="5" t="n">
        <x:v>6591.451997277551</x:v>
      </x:c>
      <x:c r="E115" s="5" t="n">
        <x:v>7226</x:v>
      </x:c>
      <x:c r="F115" s="5" t="n">
        <x:v>5452</x:v>
      </x:c>
      <x:c r="G115" s="5" t="n">
        <x:f>F115-$D115</x:f>
        <x:v>-1139.4519972775506</x:v>
      </x:c>
      <x:c r="H115" s="6" t="n">
        <x:f>G115/$D115</x:f>
        <x:v>-0.17286813250679445</x:v>
      </x:c>
      <x:c r="I115" s="5" t="n">
        <x:f>ABS(G115)</x:f>
        <x:v>1139.4519972775506</x:v>
      </x:c>
      <x:c r="J115" s="6" t="n">
        <x:f>ABS(H115)</x:f>
        <x:v>0.17286813250679445</x:v>
      </x:c>
      <x:c r="K115" s="5" t="n">
        <x:v>6487.168704633502</x:v>
      </x:c>
      <x:c r="L115" s="5" t="n">
        <x:f>K115-$D115</x:f>
        <x:v>-104.28329264404874</x:v>
      </x:c>
      <x:c r="M115" s="6" t="n">
        <x:f>L115/$D115</x:f>
        <x:v>-0.015820989470471846</x:v>
      </x:c>
      <x:c r="N115" s="5" t="n">
        <x:f>ABS(L115)</x:f>
        <x:v>104.28329264404874</x:v>
      </x:c>
      <x:c r="O115" s="6" t="n">
        <x:f>ABS(M115)</x:f>
        <x:v>0.015820989470471846</x:v>
      </x:c>
      <x:c r="P115" s="5" t="n">
        <x:v>8324.329924942984</x:v>
      </x:c>
      <x:c r="Q115" s="5" t="n">
        <x:f>P115-$D115</x:f>
        <x:v>1732.8779276654332</x:v>
      </x:c>
      <x:c r="R115" s="6" t="n">
        <x:f>Q115/$D115</x:f>
        <x:v>0.26289775430074575</x:v>
      </x:c>
      <x:c r="S115" s="5" t="n">
        <x:f>ABS(Q115)</x:f>
        <x:v>1732.8779276654332</x:v>
      </x:c>
      <x:c r="T115" s="6" t="n">
        <x:f>ABS(R115)</x:f>
        <x:v>0.26289775430074575</x:v>
      </x:c>
    </x:row>
    <x:row r="116">
      <x:c r="A116" s="4"/>
      <x:c r="B116" s="4" t="str">
        <x:v>Chulumani</x:v>
      </x:c>
      <x:c r="C116" s="5" t="n">
        <x:v>17823</x:v>
      </x:c>
      <x:c r="D116" s="5" t="n">
        <x:v>18181.80147981006</x:v>
      </x:c>
      <x:c r="E116" s="5" t="n">
        <x:v>18303</x:v>
      </x:c>
      <x:c r="F116" s="5" t="n">
        <x:v>17494</x:v>
      </x:c>
      <x:c r="G116" s="5" t="n">
        <x:f>F116-$D116</x:f>
        <x:v>-687.8014798100594</x:v>
      </x:c>
      <x:c r="H116" s="6" t="n">
        <x:f>G116/$D116</x:f>
        <x:v>-0.03782911613977454</x:v>
      </x:c>
      <x:c r="I116" s="5" t="n">
        <x:f>ABS(G116)</x:f>
        <x:v>687.8014798100594</x:v>
      </x:c>
      <x:c r="J116" s="6" t="n">
        <x:f>ABS(H116)</x:f>
        <x:v>0.03782911613977454</x:v>
      </x:c>
      <x:c r="K116" s="5" t="n">
        <x:v>16094.117927961994</x:v>
      </x:c>
      <x:c r="L116" s="5" t="n">
        <x:f>K116-$D116</x:f>
        <x:v>-2087.6835518480657</x:v>
      </x:c>
      <x:c r="M116" s="6" t="n">
        <x:f>L116/$D116</x:f>
        <x:v>-0.11482270082897611</x:v>
      </x:c>
      <x:c r="N116" s="5" t="n">
        <x:f>ABS(L116)</x:f>
        <x:v>2087.6835518480657</x:v>
      </x:c>
      <x:c r="O116" s="6" t="n">
        <x:f>ABS(M116)</x:f>
        <x:v>0.11482270082897611</x:v>
      </x:c>
      <x:c r="P116" s="5" t="n">
        <x:v>20142.732764580007</x:v>
      </x:c>
      <x:c r="Q116" s="5" t="n">
        <x:f>P116-$D116</x:f>
        <x:v>1960.9312847699475</x:v>
      </x:c>
      <x:c r="R116" s="6" t="n">
        <x:f>Q116/$D116</x:f>
        <x:v>0.10785131973569612</x:v>
      </x:c>
      <x:c r="S116" s="5" t="n">
        <x:f>ABS(Q116)</x:f>
        <x:v>1960.9312847699475</x:v>
      </x:c>
      <x:c r="T116" s="6" t="n">
        <x:f>ABS(R116)</x:f>
        <x:v>0.10785131973569612</x:v>
      </x:c>
    </x:row>
    <x:row r="117">
      <x:c r="A117" s="4"/>
      <x:c r="B117" s="4" t="str">
        <x:v>Chuma</x:v>
      </x:c>
      <x:c r="C117" s="5" t="n">
        <x:v>11473</x:v>
      </x:c>
      <x:c r="D117" s="5" t="n">
        <x:v>15969.185133711277</x:v>
      </x:c>
      <x:c r="E117" s="5" t="n">
        <x:v>17830</x:v>
      </x:c>
      <x:c r="F117" s="5" t="n">
        <x:v>9926</x:v>
      </x:c>
      <x:c r="G117" s="5" t="n">
        <x:f>F117-$D117</x:f>
        <x:v>-6043.185133711277</x:v>
      </x:c>
      <x:c r="H117" s="6" t="n">
        <x:f>G117/$D117</x:f>
        <x:v>-0.3784278961707313</x:v>
      </x:c>
      <x:c r="I117" s="5" t="n">
        <x:f>ABS(G117)</x:f>
        <x:v>6043.185133711277</x:v>
      </x:c>
      <x:c r="J117" s="6" t="n">
        <x:f>ABS(H117)</x:f>
        <x:v>0.3784278961707313</x:v>
      </x:c>
      <x:c r="K117" s="5" t="n">
        <x:v>12952.336611827535</x:v>
      </x:c>
      <x:c r="L117" s="5" t="n">
        <x:f>K117-$D117</x:f>
        <x:v>-3016.8485218837413</x:v>
      </x:c>
      <x:c r="M117" s="6" t="n">
        <x:f>L117/$D117</x:f>
        <x:v>-0.18891687312930655</x:v>
      </x:c>
      <x:c r="N117" s="5" t="n">
        <x:f>ABS(L117)</x:f>
        <x:v>3016.8485218837413</x:v>
      </x:c>
      <x:c r="O117" s="6" t="n">
        <x:f>ABS(M117)</x:f>
        <x:v>0.18891687312930655</x:v>
      </x:c>
      <x:c r="P117" s="5" t="n">
        <x:v>13770.909289723008</x:v>
      </x:c>
      <x:c r="Q117" s="5" t="n">
        <x:f>P117-$D117</x:f>
        <x:v>-2198.275843988269</x:v>
      </x:c>
      <x:c r="R117" s="6" t="n">
        <x:f>Q117/$D117</x:f>
        <x:v>-0.13765735856788733</x:v>
      </x:c>
      <x:c r="S117" s="5" t="n">
        <x:f>ABS(Q117)</x:f>
        <x:v>2198.275843988269</x:v>
      </x:c>
      <x:c r="T117" s="6" t="n">
        <x:f>ABS(R117)</x:f>
        <x:v>0.13765735856788733</x:v>
      </x:c>
    </x:row>
    <x:row r="118">
      <x:c r="A118" s="4"/>
      <x:c r="B118" s="4" t="str">
        <x:v>Collana</x:v>
      </x:c>
      <x:c r="C118" s="5" t="n">
        <x:v>5042</x:v>
      </x:c>
      <x:c r="D118" s="5" t="n">
        <x:v>5400.80964757554</x:v>
      </x:c>
      <x:c r="E118" s="5" t="n">
        <x:v>5526</x:v>
      </x:c>
      <x:c r="F118" s="5" t="n">
        <x:v>3949</x:v>
      </x:c>
      <x:c r="G118" s="5" t="n">
        <x:f>F118-$D118</x:f>
        <x:v>-1451.80964757554</x:v>
      </x:c>
      <x:c r="H118" s="6" t="n">
        <x:f>G118/$D118</x:f>
        <x:v>-0.26881333398359397</x:v>
      </x:c>
      <x:c r="I118" s="5" t="n">
        <x:f>ABS(G118)</x:f>
        <x:v>1451.80964757554</x:v>
      </x:c>
      <x:c r="J118" s="6" t="n">
        <x:f>ABS(H118)</x:f>
        <x:v>0.26881333398359397</x:v>
      </x:c>
      <x:c r="K118" s="5" t="n">
        <x:v>3576.806248863932</x:v>
      </x:c>
      <x:c r="L118" s="5" t="n">
        <x:f>K118-$D118</x:f>
        <x:v>-1824.003398711608</x:v>
      </x:c>
      <x:c r="M118" s="6" t="n">
        <x:f>L118/$D118</x:f>
        <x:v>-0.3377277700447035</x:v>
      </x:c>
      <x:c r="N118" s="5" t="n">
        <x:f>ABS(L118)</x:f>
        <x:v>1824.003398711608</x:v>
      </x:c>
      <x:c r="O118" s="6" t="n">
        <x:f>ABS(M118)</x:f>
        <x:v>0.3377277700447035</x:v>
      </x:c>
      <x:c r="P118" s="5" t="n">
        <x:v>5399.815918172768</x:v>
      </x:c>
      <x:c r="Q118" s="5" t="n">
        <x:f>P118-$D118</x:f>
        <x:v>-0.9937294027722601</x:v>
      </x:c>
      <x:c r="R118" s="6" t="n">
        <x:f>Q118/$D118</x:f>
        <x:v>-0.00018399637602824087</x:v>
      </x:c>
      <x:c r="S118" s="5" t="n">
        <x:f>ABS(Q118)</x:f>
        <x:v>0.9937294027722601</x:v>
      </x:c>
      <x:c r="T118" s="6" t="n">
        <x:f>ABS(R118)</x:f>
        <x:v>0.00018399637602824087</x:v>
      </x:c>
    </x:row>
    <x:row r="119">
      <x:c r="A119" s="4"/>
      <x:c r="B119" s="4" t="str">
        <x:v>Colquencha</x:v>
      </x:c>
      <x:c r="C119" s="5" t="n">
        <x:v>9879</x:v>
      </x:c>
      <x:c r="D119" s="5" t="n">
        <x:v>11778.773623247584</x:v>
      </x:c>
      <x:c r="E119" s="5" t="n">
        <x:v>12490</x:v>
      </x:c>
      <x:c r="F119" s="5" t="n">
        <x:v>8245</x:v>
      </x:c>
      <x:c r="G119" s="5" t="n">
        <x:f>F119-$D119</x:f>
        <x:v>-3533.7736232475836</x:v>
      </x:c>
      <x:c r="H119" s="6" t="n">
        <x:f>G119/$D119</x:f>
        <x:v>-0.3000120162147466</x:v>
      </x:c>
      <x:c r="I119" s="5" t="n">
        <x:f>ABS(G119)</x:f>
        <x:v>3533.7736232475836</x:v>
      </x:c>
      <x:c r="J119" s="6" t="n">
        <x:f>ABS(H119)</x:f>
        <x:v>0.3000120162147466</x:v>
      </x:c>
      <x:c r="K119" s="5" t="n">
        <x:v>8252.087871510705</x:v>
      </x:c>
      <x:c r="L119" s="5" t="n">
        <x:f>K119-$D119</x:f>
        <x:v>-3526.685751736879</x:v>
      </x:c>
      <x:c r="M119" s="6" t="n">
        <x:f>L119/$D119</x:f>
        <x:v>-0.2994102666831387</x:v>
      </x:c>
      <x:c r="N119" s="5" t="n">
        <x:f>ABS(L119)</x:f>
        <x:v>3526.685751736879</x:v>
      </x:c>
      <x:c r="O119" s="6" t="n">
        <x:f>ABS(M119)</x:f>
        <x:v>0.2994102666831387</x:v>
      </x:c>
      <x:c r="P119" s="5" t="n">
        <x:v>11464.420155967551</x:v>
      </x:c>
      <x:c r="Q119" s="5" t="n">
        <x:f>P119-$D119</x:f>
        <x:v>-314.3534672800324</x:v>
      </x:c>
      <x:c r="R119" s="6" t="n">
        <x:f>Q119/$D119</x:f>
        <x:v>-0.026688132171892483</x:v>
      </x:c>
      <x:c r="S119" s="5" t="n">
        <x:f>ABS(Q119)</x:f>
        <x:v>314.3534672800324</x:v>
      </x:c>
      <x:c r="T119" s="6" t="n">
        <x:f>ABS(R119)</x:f>
        <x:v>0.026688132171892483</x:v>
      </x:c>
    </x:row>
    <x:row r="120">
      <x:c r="A120" s="4"/>
      <x:c r="B120" s="4" t="str">
        <x:v>Colquiri</x:v>
      </x:c>
      <x:c r="C120" s="5" t="n">
        <x:v>19620</x:v>
      </x:c>
      <x:c r="D120" s="5" t="n">
        <x:v>22466.992607370456</x:v>
      </x:c>
      <x:c r="E120" s="5" t="n">
        <x:v>23505</x:v>
      </x:c>
      <x:c r="F120" s="5" t="n">
        <x:v>17305</x:v>
      </x:c>
      <x:c r="G120" s="5" t="n">
        <x:f>F120-$D120</x:f>
        <x:v>-5161.9926073704555</x:v>
      </x:c>
      <x:c r="H120" s="6" t="n">
        <x:f>G120/$D120</x:f>
        <x:v>-0.22975894894259355</x:v>
      </x:c>
      <x:c r="I120" s="5" t="n">
        <x:f>ABS(G120)</x:f>
        <x:v>5161.9926073704555</x:v>
      </x:c>
      <x:c r="J120" s="6" t="n">
        <x:f>ABS(H120)</x:f>
        <x:v>0.22975894894259355</x:v>
      </x:c>
      <x:c r="K120" s="5" t="n">
        <x:v>16087.473648156256</x:v>
      </x:c>
      <x:c r="L120" s="5" t="n">
        <x:f>K120-$D120</x:f>
        <x:v>-6379.5189592142</x:v>
      </x:c>
      <x:c r="M120" s="6" t="n">
        <x:f>L120/$D120</x:f>
        <x:v>-0.2839507303314531</x:v>
      </x:c>
      <x:c r="N120" s="5" t="n">
        <x:f>ABS(L120)</x:f>
        <x:v>6379.5189592142</x:v>
      </x:c>
      <x:c r="O120" s="6" t="n">
        <x:f>ABS(M120)</x:f>
        <x:v>0.2839507303314531</x:v>
      </x:c>
      <x:c r="P120" s="5" t="n">
        <x:v>20438.92753973593</x:v>
      </x:c>
      <x:c r="Q120" s="5" t="n">
        <x:f>P120-$D120</x:f>
        <x:v>-2028.065067634525</x:v>
      </x:c>
      <x:c r="R120" s="6" t="n">
        <x:f>Q120/$D120</x:f>
        <x:v>-0.09026864890538149</x:v>
      </x:c>
      <x:c r="S120" s="5" t="n">
        <x:f>ABS(Q120)</x:f>
        <x:v>2028.065067634525</x:v>
      </x:c>
      <x:c r="T120" s="6" t="n">
        <x:f>ABS(R120)</x:f>
        <x:v>0.09026864890538149</x:v>
      </x:c>
    </x:row>
    <x:row r="121">
      <x:c r="A121" s="4"/>
      <x:c r="B121" s="4" t="str">
        <x:v>Comanche</x:v>
      </x:c>
      <x:c r="C121" s="5" t="n">
        <x:v>3880</x:v>
      </x:c>
      <x:c r="D121" s="5" t="n">
        <x:v>4859.393315764191</x:v>
      </x:c>
      <x:c r="E121" s="5" t="n">
        <x:v>5238</x:v>
      </x:c>
      <x:c r="F121" s="5" t="n">
        <x:v>5376</x:v>
      </x:c>
      <x:c r="G121" s="5" t="n">
        <x:f>F121-$D121</x:f>
        <x:v>516.6066842358086</x:v>
      </x:c>
      <x:c r="H121" s="6" t="n">
        <x:f>G121/$D121</x:f>
        <x:v>0.10631094267671287</x:v>
      </x:c>
      <x:c r="I121" s="5" t="n">
        <x:f>ABS(G121)</x:f>
        <x:v>516.6066842358086</x:v>
      </x:c>
      <x:c r="J121" s="6" t="n">
        <x:f>ABS(H121)</x:f>
        <x:v>0.10631094267671287</x:v>
      </x:c>
      <x:c r="K121" s="5" t="n">
        <x:v>3021.3955206639903</x:v>
      </x:c>
      <x:c r="L121" s="5" t="n">
        <x:f>K121-$D121</x:f>
        <x:v>-1837.997795100201</x:v>
      </x:c>
      <x:c r="M121" s="6" t="n">
        <x:f>L121/$D121</x:f>
        <x:v>-0.3782360627483302</x:v>
      </x:c>
      <x:c r="N121" s="5" t="n">
        <x:f>ABS(L121)</x:f>
        <x:v>1837.997795100201</x:v>
      </x:c>
      <x:c r="O121" s="6" t="n">
        <x:f>ABS(M121)</x:f>
        <x:v>0.3782360627483302</x:v>
      </x:c>
      <x:c r="P121" s="5" t="n">
        <x:v>4403.225054107825</x:v>
      </x:c>
      <x:c r="Q121" s="5" t="n">
        <x:f>P121-$D121</x:f>
        <x:v>-456.16826165636667</x:v>
      </x:c>
      <x:c r="R121" s="6" t="n">
        <x:f>Q121/$D121</x:f>
        <x:v>-0.09387350066448148</x:v>
      </x:c>
      <x:c r="S121" s="5" t="n">
        <x:f>ABS(Q121)</x:f>
        <x:v>456.16826165636667</x:v>
      </x:c>
      <x:c r="T121" s="6" t="n">
        <x:f>ABS(R121)</x:f>
        <x:v>0.09387350066448148</x:v>
      </x:c>
    </x:row>
    <x:row r="122">
      <x:c r="A122" s="4"/>
      <x:c r="B122" s="4" t="str">
        <x:v>Combaya</x:v>
      </x:c>
      <x:c r="C122" s="5" t="n">
        <x:v>3731</x:v>
      </x:c>
      <x:c r="D122" s="5" t="n">
        <x:v>3578.4508456432327</x:v>
      </x:c>
      <x:c r="E122" s="5" t="n">
        <x:v>3529</x:v>
      </x:c>
      <x:c r="F122" s="5" t="n">
        <x:v>1637</x:v>
      </x:c>
      <x:c r="G122" s="5" t="n">
        <x:f>F122-$D122</x:f>
        <x:v>-1941.4508456432327</x:v>
      </x:c>
      <x:c r="H122" s="6" t="n">
        <x:f>G122/$D122</x:f>
        <x:v>-0.5425394757083085</x:v>
      </x:c>
      <x:c r="I122" s="5" t="n">
        <x:f>ABS(G122)</x:f>
        <x:v>1941.4508456432327</x:v>
      </x:c>
      <x:c r="J122" s="6" t="n">
        <x:f>ABS(H122)</x:f>
        <x:v>0.5425394757083085</x:v>
      </x:c>
      <x:c r="K122" s="5" t="n">
        <x:v>3977.468246741315</x:v>
      </x:c>
      <x:c r="L122" s="5" t="n">
        <x:f>K122-$D122</x:f>
        <x:v>399.01740109808225</x:v>
      </x:c>
      <x:c r="M122" s="6" t="n">
        <x:f>L122/$D122</x:f>
        <x:v>0.11150562584473846</x:v>
      </x:c>
      <x:c r="N122" s="5" t="n">
        <x:f>ABS(L122)</x:f>
        <x:v>399.01740109808225</x:v>
      </x:c>
      <x:c r="O122" s="6" t="n">
        <x:f>ABS(M122)</x:f>
        <x:v>0.11150562584473846</x:v>
      </x:c>
      <x:c r="P122" s="5" t="n">
        <x:v>4027.4776522119055</x:v>
      </x:c>
      <x:c r="Q122" s="5" t="n">
        <x:f>P122-$D122</x:f>
        <x:v>449.0268065686728</x:v>
      </x:c>
      <x:c r="R122" s="6" t="n">
        <x:f>Q122/$D122</x:f>
        <x:v>0.1254807809126017</x:v>
      </x:c>
      <x:c r="S122" s="5" t="n">
        <x:f>ABS(Q122)</x:f>
        <x:v>449.0268065686728</x:v>
      </x:c>
      <x:c r="T122" s="6" t="n">
        <x:f>ABS(R122)</x:f>
        <x:v>0.1254807809126017</x:v>
      </x:c>
    </x:row>
    <x:row r="123">
      <x:c r="A123" s="4"/>
      <x:c r="B123" s="4" t="str">
        <x:v>Copacabana</x:v>
      </x:c>
      <x:c r="C123" s="5" t="n">
        <x:v>14931</x:v>
      </x:c>
      <x:c r="D123" s="5" t="n">
        <x:v>16792.345622144312</x:v>
      </x:c>
      <x:c r="E123" s="5" t="n">
        <x:v>17463</x:v>
      </x:c>
      <x:c r="F123" s="5" t="n">
        <x:v>12673</x:v>
      </x:c>
      <x:c r="G123" s="5" t="n">
        <x:f>F123-$D123</x:f>
        <x:v>-4119.345622144312</x:v>
      </x:c>
      <x:c r="H123" s="6" t="n">
        <x:f>G123/$D123</x:f>
        <x:v>-0.2453109121760852</x:v>
      </x:c>
      <x:c r="I123" s="5" t="n">
        <x:f>ABS(G123)</x:f>
        <x:v>4119.345622144312</x:v>
      </x:c>
      <x:c r="J123" s="6" t="n">
        <x:f>ABS(H123)</x:f>
        <x:v>0.2453109121760852</x:v>
      </x:c>
      <x:c r="K123" s="5" t="n">
        <x:v>12920.82444037438</x:v>
      </x:c>
      <x:c r="L123" s="5" t="n">
        <x:f>K123-$D123</x:f>
        <x:v>-3871.521181769933</x:v>
      </x:c>
      <x:c r="M123" s="6" t="n">
        <x:f>L123/$D123</x:f>
        <x:v>-0.2305527333039466</x:v>
      </x:c>
      <x:c r="N123" s="5" t="n">
        <x:f>ABS(L123)</x:f>
        <x:v>3871.521181769933</x:v>
      </x:c>
      <x:c r="O123" s="6" t="n">
        <x:f>ABS(M123)</x:f>
        <x:v>0.2305527333039466</x:v>
      </x:c>
      <x:c r="P123" s="5" t="n">
        <x:v>17039.3831433545</x:v>
      </x:c>
      <x:c r="Q123" s="5" t="n">
        <x:f>P123-$D123</x:f>
        <x:v>247.03752121018624</x:v>
      </x:c>
      <x:c r="R123" s="6" t="n">
        <x:f>Q123/$D123</x:f>
        <x:v>0.014711317094641874</x:v>
      </x:c>
      <x:c r="S123" s="5" t="n">
        <x:f>ABS(Q123)</x:f>
        <x:v>247.03752121018624</x:v>
      </x:c>
      <x:c r="T123" s="6" t="n">
        <x:f>ABS(R123)</x:f>
        <x:v>0.014711317094641874</x:v>
      </x:c>
    </x:row>
    <x:row r="124">
      <x:c r="A124" s="4"/>
      <x:c r="B124" s="4" t="str">
        <x:v>Coripata</x:v>
      </x:c>
      <x:c r="C124" s="5" t="n">
        <x:v>16930</x:v>
      </x:c>
      <x:c r="D124" s="5" t="n">
        <x:v>21671.086464439835</x:v>
      </x:c>
      <x:c r="E124" s="5" t="n">
        <x:v>23530</x:v>
      </x:c>
      <x:c r="F124" s="5" t="n">
        <x:v>15616</x:v>
      </x:c>
      <x:c r="G124" s="5" t="n">
        <x:f>F124-$D124</x:f>
        <x:v>-6055.086464439835</x:v>
      </x:c>
      <x:c r="H124" s="6" t="n">
        <x:f>G124/$D124</x:f>
        <x:v>-0.27940853239525615</x:v>
      </x:c>
      <x:c r="I124" s="5" t="n">
        <x:f>ABS(G124)</x:f>
        <x:v>6055.086464439835</x:v>
      </x:c>
      <x:c r="J124" s="6" t="n">
        <x:f>ABS(H124)</x:f>
        <x:v>0.27940853239525615</x:v>
      </x:c>
      <x:c r="K124" s="5" t="n">
        <x:v>16958.26727425104</x:v>
      </x:c>
      <x:c r="L124" s="5" t="n">
        <x:f>K124-$D124</x:f>
        <x:v>-4712.819190188795</x:v>
      </x:c>
      <x:c r="M124" s="6" t="n">
        <x:f>L124/$D124</x:f>
        <x:v>-0.21747036992917163</x:v>
      </x:c>
      <x:c r="N124" s="5" t="n">
        <x:f>ABS(L124)</x:f>
        <x:v>4712.819190188795</x:v>
      </x:c>
      <x:c r="O124" s="6" t="n">
        <x:f>ABS(M124)</x:f>
        <x:v>0.21747036992917163</x:v>
      </x:c>
      <x:c r="P124" s="5" t="n">
        <x:v>20006.638303574728</x:v>
      </x:c>
      <x:c r="Q124" s="5" t="n">
        <x:f>P124-$D124</x:f>
        <x:v>-1664.4481608651076</x:v>
      </x:c>
      <x:c r="R124" s="6" t="n">
        <x:f>Q124/$D124</x:f>
        <x:v>-0.07680501684104794</x:v>
      </x:c>
      <x:c r="S124" s="5" t="n">
        <x:f>ABS(Q124)</x:f>
        <x:v>1664.4481608651076</x:v>
      </x:c>
      <x:c r="T124" s="6" t="n">
        <x:f>ABS(R124)</x:f>
        <x:v>0.07680501684104794</x:v>
      </x:c>
    </x:row>
    <x:row r="125">
      <x:c r="A125" s="4"/>
      <x:c r="B125" s="4" t="str">
        <x:v>Corocoro</x:v>
      </x:c>
      <x:c r="C125" s="5" t="n">
        <x:v>10647</x:v>
      </x:c>
      <x:c r="D125" s="5" t="n">
        <x:v>12758.080040993253</x:v>
      </x:c>
      <x:c r="E125" s="5" t="n">
        <x:v>13551</x:v>
      </x:c>
      <x:c r="F125" s="5" t="n">
        <x:v>9481</x:v>
      </x:c>
      <x:c r="G125" s="5" t="n">
        <x:f>F125-$D125</x:f>
        <x:v>-3277.0800409932526</x:v>
      </x:c>
      <x:c r="H125" s="6" t="n">
        <x:f>G125/$D125</x:f>
        <x:v>-0.2568631040457184</x:v>
      </x:c>
      <x:c r="I125" s="5" t="n">
        <x:f>ABS(G125)</x:f>
        <x:v>3277.0800409932526</x:v>
      </x:c>
      <x:c r="J125" s="6" t="n">
        <x:f>ABS(H125)</x:f>
        <x:v>0.2568631040457184</x:v>
      </x:c>
      <x:c r="K125" s="5" t="n">
        <x:v>8910.76885533113</x:v>
      </x:c>
      <x:c r="L125" s="5" t="n">
        <x:f>K125-$D125</x:f>
        <x:v>-3847.3111856621217</x:v>
      </x:c>
      <x:c r="M125" s="6" t="n">
        <x:f>L125/$D125</x:f>
        <x:v>-0.3015587904528147</x:v>
      </x:c>
      <x:c r="N125" s="5" t="n">
        <x:f>ABS(L125)</x:f>
        <x:v>3847.3111856621217</x:v>
      </x:c>
      <x:c r="O125" s="6" t="n">
        <x:f>ABS(M125)</x:f>
        <x:v>0.3015587904528147</x:v>
      </x:c>
      <x:c r="P125" s="5" t="n">
        <x:v>11802.360340761988</x:v>
      </x:c>
      <x:c r="Q125" s="5" t="n">
        <x:f>P125-$D125</x:f>
        <x:v>-955.7197002312641</x:v>
      </x:c>
      <x:c r="R125" s="6" t="n">
        <x:f>Q125/$D125</x:f>
        <x:v>-0.07491093465164204</x:v>
      </x:c>
      <x:c r="S125" s="5" t="n">
        <x:f>ABS(Q125)</x:f>
        <x:v>955.7197002312641</x:v>
      </x:c>
      <x:c r="T125" s="6" t="n">
        <x:f>ABS(R125)</x:f>
        <x:v>0.07491093465164204</x:v>
      </x:c>
    </x:row>
    <x:row r="126">
      <x:c r="A126" s="4"/>
      <x:c r="B126" s="4" t="str">
        <x:v>Coroico</x:v>
      </x:c>
      <x:c r="C126" s="5" t="n">
        <x:v>19397</x:v>
      </x:c>
      <x:c r="D126" s="5" t="n">
        <x:v>25346.77970014696</x:v>
      </x:c>
      <x:c r="E126" s="5" t="n">
        <x:v>27711</x:v>
      </x:c>
      <x:c r="F126" s="5" t="n">
        <x:v>16688</x:v>
      </x:c>
      <x:c r="G126" s="5" t="n">
        <x:f>F126-$D126</x:f>
        <x:v>-8658.779700146959</x:v>
      </x:c>
      <x:c r="H126" s="6" t="n">
        <x:f>G126/$D126</x:f>
        <x:v>-0.3416126151953242</x:v>
      </x:c>
      <x:c r="I126" s="5" t="n">
        <x:f>ABS(G126)</x:f>
        <x:v>8658.779700146959</x:v>
      </x:c>
      <x:c r="J126" s="6" t="n">
        <x:f>ABS(H126)</x:f>
        <x:v>0.3416126151953242</x:v>
      </x:c>
      <x:c r="K126" s="5" t="n">
        <x:v>23549.271050039923</x:v>
      </x:c>
      <x:c r="L126" s="5" t="n">
        <x:f>K126-$D126</x:f>
        <x:v>-1797.5086501070364</x:v>
      </x:c>
      <x:c r="M126" s="6" t="n">
        <x:f>L126/$D126</x:f>
        <x:v>-0.07091664784921828</x:v>
      </x:c>
      <x:c r="N126" s="5" t="n">
        <x:f>ABS(L126)</x:f>
        <x:v>1797.5086501070364</x:v>
      </x:c>
      <x:c r="O126" s="6" t="n">
        <x:f>ABS(M126)</x:f>
        <x:v>0.07091664784921828</x:v>
      </x:c>
      <x:c r="P126" s="5" t="n">
        <x:v>23258.676192045925</x:v>
      </x:c>
      <x:c r="Q126" s="5" t="n">
        <x:f>P126-$D126</x:f>
        <x:v>-2088.103508101034</x:v>
      </x:c>
      <x:c r="R126" s="6" t="n">
        <x:f>Q126/$D126</x:f>
        <x:v>-0.08238141226630566</x:v>
      </x:c>
      <x:c r="S126" s="5" t="n">
        <x:f>ABS(Q126)</x:f>
        <x:v>2088.103508101034</x:v>
      </x:c>
      <x:c r="T126" s="6" t="n">
        <x:f>ABS(R126)</x:f>
        <x:v>0.08238141226630566</x:v>
      </x:c>
    </x:row>
    <x:row r="127">
      <x:c r="A127" s="4"/>
      <x:c r="B127" s="4" t="str">
        <x:v>Curva</x:v>
      </x:c>
      <x:c r="C127" s="5" t="n">
        <x:v>3285</x:v>
      </x:c>
      <x:c r="D127" s="5" t="n">
        <x:v>5550.526894775122</x:v>
      </x:c>
      <x:c r="E127" s="5" t="n">
        <x:v>6611</x:v>
      </x:c>
      <x:c r="F127" s="5" t="n">
        <x:v>3398</x:v>
      </x:c>
      <x:c r="G127" s="5" t="n">
        <x:f>F127-$D127</x:f>
        <x:v>-2152.526894775122</x:v>
      </x:c>
      <x:c r="H127" s="6" t="n">
        <x:f>G127/$D127</x:f>
        <x:v>-0.38780586700721337</x:v>
      </x:c>
      <x:c r="I127" s="5" t="n">
        <x:f>ABS(G127)</x:f>
        <x:v>2152.526894775122</x:v>
      </x:c>
      <x:c r="J127" s="6" t="n">
        <x:f>ABS(H127)</x:f>
        <x:v>0.38780586700721337</x:v>
      </x:c>
      <x:c r="K127" s="5" t="n">
        <x:v>3543.033843917992</x:v>
      </x:c>
      <x:c r="L127" s="5" t="n">
        <x:f>K127-$D127</x:f>
        <x:v>-2007.4930508571301</x:v>
      </x:c>
      <x:c r="M127" s="6" t="n">
        <x:f>L127/$D127</x:f>
        <x:v>-0.361676123531055</x:v>
      </x:c>
      <x:c r="N127" s="5" t="n">
        <x:f>ABS(L127)</x:f>
        <x:v>2007.4930508571301</x:v>
      </x:c>
      <x:c r="O127" s="6" t="n">
        <x:f>ABS(M127)</x:f>
        <x:v>0.361676123531055</x:v>
      </x:c>
      <x:c r="P127" s="5" t="n">
        <x:v>3739.308200933825</x:v>
      </x:c>
      <x:c r="Q127" s="5" t="n">
        <x:f>P127-$D127</x:f>
        <x:v>-1811.218693841297</x:v>
      </x:c>
      <x:c r="R127" s="6" t="n">
        <x:f>Q127/$D127</x:f>
        <x:v>-0.32631473158814017</x:v>
      </x:c>
      <x:c r="S127" s="5" t="n">
        <x:f>ABS(Q127)</x:f>
        <x:v>1811.218693841297</x:v>
      </x:c>
      <x:c r="T127" s="6" t="n">
        <x:f>ABS(R127)</x:f>
        <x:v>0.32631473158814017</x:v>
      </x:c>
    </x:row>
    <x:row r="128">
      <x:c r="A128" s="4"/>
      <x:c r="B128" s="4" t="str">
        <x:v>Desaguadero</x:v>
      </x:c>
      <x:c r="C128" s="5" t="n">
        <x:v>6987</x:v>
      </x:c>
      <x:c r="D128" s="5" t="n">
        <x:v>7658.9509699326445</x:v>
      </x:c>
      <x:c r="E128" s="5" t="n">
        <x:v>7897</x:v>
      </x:c>
      <x:c r="F128" s="5" t="n">
        <x:v>7394</x:v>
      </x:c>
      <x:c r="G128" s="5" t="n">
        <x:f>F128-$D128</x:f>
        <x:v>-264.9509699326445</x:v>
      </x:c>
      <x:c r="H128" s="6" t="n">
        <x:f>G128/$D128</x:f>
        <x:v>-0.03459363703629697</x:v>
      </x:c>
      <x:c r="I128" s="5" t="n">
        <x:f>ABS(G128)</x:f>
        <x:v>264.9509699326445</x:v>
      </x:c>
      <x:c r="J128" s="6" t="n">
        <x:f>ABS(H128)</x:f>
        <x:v>0.03459363703629697</x:v>
      </x:c>
      <x:c r="K128" s="5" t="n">
        <x:v>5063.756610367513</x:v>
      </x:c>
      <x:c r="L128" s="5" t="n">
        <x:f>K128-$D128</x:f>
        <x:v>-2595.194359565132</x:v>
      </x:c>
      <x:c r="M128" s="6" t="n">
        <x:f>L128/$D128</x:f>
        <x:v>-0.3388446237289276</x:v>
      </x:c>
      <x:c r="N128" s="5" t="n">
        <x:f>ABS(L128)</x:f>
        <x:v>2595.194359565132</x:v>
      </x:c>
      <x:c r="O128" s="6" t="n">
        <x:f>ABS(M128)</x:f>
        <x:v>0.3388446237289276</x:v>
      </x:c>
      <x:c r="P128" s="5" t="n">
        <x:v>7954.797869204984</x:v>
      </x:c>
      <x:c r="Q128" s="5" t="n">
        <x:f>P128-$D128</x:f>
        <x:v>295.8468992723392</x:v>
      </x:c>
      <x:c r="R128" s="6" t="n">
        <x:f>Q128/$D128</x:f>
        <x:v>0.03862760062491182</x:v>
      </x:c>
      <x:c r="S128" s="5" t="n">
        <x:f>ABS(Q128)</x:f>
        <x:v>295.8468992723392</x:v>
      </x:c>
      <x:c r="T128" s="6" t="n">
        <x:f>ABS(R128)</x:f>
        <x:v>0.03862760062491182</x:v>
      </x:c>
    </x:row>
    <x:row r="129">
      <x:c r="A129" s="4"/>
      <x:c r="B129" s="4" t="str">
        <x:v>El Alto</x:v>
      </x:c>
      <x:c r="C129" s="5" t="n">
        <x:v>848452</x:v>
      </x:c>
      <x:c r="D129" s="5" t="n">
        <x:v>876330.1809284807</x:v>
      </x:c>
      <x:c r="E129" s="5" t="n">
        <x:v>885825</x:v>
      </x:c>
      <x:c r="F129" s="5" t="n">
        <x:v>1089126</x:v>
      </x:c>
      <x:c r="G129" s="5" t="n">
        <x:f>F129-$D129</x:f>
        <x:v>212795.8190715193</x:v>
      </x:c>
      <x:c r="H129" s="6" t="n">
        <x:f>G129/$D129</x:f>
        <x:v>0.24282607595011732</x:v>
      </x:c>
      <x:c r="I129" s="5" t="n">
        <x:f>ABS(G129)</x:f>
        <x:v>212795.8190715193</x:v>
      </x:c>
      <x:c r="J129" s="6" t="n">
        <x:f>ABS(H129)</x:f>
        <x:v>0.24282607595011732</x:v>
      </x:c>
      <x:c r="K129" s="5" t="n">
        <x:v>1126531.9976922155</x:v>
      </x:c>
      <x:c r="L129" s="5" t="n">
        <x:f>K129-$D129</x:f>
        <x:v>250201.8167637348</x:v>
      </x:c>
      <x:c r="M129" s="6" t="n">
        <x:f>L129/$D129</x:f>
        <x:v>0.28551089784291517</x:v>
      </x:c>
      <x:c r="N129" s="5" t="n">
        <x:f>ABS(L129)</x:f>
        <x:v>250201.8167637348</x:v>
      </x:c>
      <x:c r="O129" s="6" t="n">
        <x:f>ABS(M129)</x:f>
        <x:v>0.28551089784291517</x:v>
      </x:c>
      <x:c r="P129" s="5" t="n">
        <x:v>1194682.19368357</x:v>
      </x:c>
      <x:c r="Q129" s="5" t="n">
        <x:f>P129-$D129</x:f>
        <x:v>318352.0127550893</x:v>
      </x:c>
      <x:c r="R129" s="6" t="n">
        <x:f>Q129/$D129</x:f>
        <x:v>0.36327861311109033</x:v>
      </x:c>
      <x:c r="S129" s="5" t="n">
        <x:f>ABS(Q129)</x:f>
        <x:v>318352.0127550893</x:v>
      </x:c>
      <x:c r="T129" s="6" t="n">
        <x:f>ABS(R129)</x:f>
        <x:v>0.36327861311109033</x:v>
      </x:c>
    </x:row>
    <x:row r="130">
      <x:c r="A130" s="4"/>
      <x:c r="B130" s="4" t="str">
        <x:v>Escoma</x:v>
      </x:c>
      <x:c r="C130" s="5" t="n">
        <x:v>7186</x:v>
      </x:c>
      <x:c r="D130" s="5" t="n">
        <x:v>8391.709561940328</x:v>
      </x:c>
      <x:c r="E130" s="5" t="n">
        <x:v>8837</x:v>
      </x:c>
      <x:c r="F130" s="5" t="n">
        <x:v>7398</x:v>
      </x:c>
      <x:c r="G130" s="5" t="n">
        <x:f>F130-$D130</x:f>
        <x:v>-993.7095619403281</x:v>
      </x:c>
      <x:c r="H130" s="6" t="n">
        <x:f>G130/$D130</x:f>
        <x:v>-0.11841562849686649</x:v>
      </x:c>
      <x:c r="I130" s="5" t="n">
        <x:f>ABS(G130)</x:f>
        <x:v>993.7095619403281</x:v>
      </x:c>
      <x:c r="J130" s="6" t="n">
        <x:f>ABS(H130)</x:f>
        <x:v>0.11841562849686649</x:v>
      </x:c>
      <x:c r="K130" s="5" t="n">
        <x:v>6806.273483478907</x:v>
      </x:c>
      <x:c r="L130" s="5" t="n">
        <x:f>K130-$D130</x:f>
        <x:v>-1585.436078461421</x:v>
      </x:c>
      <x:c r="M130" s="6" t="n">
        <x:f>L130/$D130</x:f>
        <x:v>-0.18892885493225256</x:v>
      </x:c>
      <x:c r="N130" s="5" t="n">
        <x:f>ABS(L130)</x:f>
        <x:v>1585.436078461421</x:v>
      </x:c>
      <x:c r="O130" s="6" t="n">
        <x:f>ABS(M130)</x:f>
        <x:v>0.18892885493225256</x:v>
      </x:c>
      <x:c r="P130" s="5" t="n">
        <x:v>8645.442933780414</x:v>
      </x:c>
      <x:c r="Q130" s="5" t="n">
        <x:f>P130-$D130</x:f>
        <x:v>253.73337184008597</x:v>
      </x:c>
      <x:c r="R130" s="6" t="n">
        <x:f>Q130/$D130</x:f>
        <x:v>0.030236195612734936</x:v>
      </x:c>
      <x:c r="S130" s="5" t="n">
        <x:f>ABS(Q130)</x:f>
        <x:v>253.73337184008597</x:v>
      </x:c>
      <x:c r="T130" s="6" t="n">
        <x:f>ABS(R130)</x:f>
        <x:v>0.030236195612734936</x:v>
      </x:c>
    </x:row>
    <x:row r="131">
      <x:c r="A131" s="4"/>
      <x:c r="B131" s="4" t="str">
        <x:v>Guanay</x:v>
      </x:c>
      <x:c r="C131" s="5" t="n">
        <x:v>14788</x:v>
      </x:c>
      <x:c r="D131" s="5" t="n">
        <x:v>15970.998664571172</x:v>
      </x:c>
      <x:c r="E131" s="5" t="n">
        <x:v>16386</x:v>
      </x:c>
      <x:c r="F131" s="5" t="n">
        <x:v>13723</x:v>
      </x:c>
      <x:c r="G131" s="5" t="n">
        <x:f>F131-$D131</x:f>
        <x:v>-2247.9986645711724</x:v>
      </x:c>
      <x:c r="H131" s="6" t="n">
        <x:f>G131/$D131</x:f>
        <x:v>-0.14075504680605594</x:v>
      </x:c>
      <x:c r="I131" s="5" t="n">
        <x:f>ABS(G131)</x:f>
        <x:v>2247.9986645711724</x:v>
      </x:c>
      <x:c r="J131" s="6" t="n">
        <x:f>ABS(H131)</x:f>
        <x:v>0.14075504680605594</x:v>
      </x:c>
      <x:c r="K131" s="5" t="n">
        <x:v>20193.868211561865</x:v>
      </x:c>
      <x:c r="L131" s="5" t="n">
        <x:f>K131-$D131</x:f>
        <x:v>4222.8695469906925</x:v>
      </x:c>
      <x:c r="M131" s="6" t="n">
        <x:f>L131/$D131</x:f>
        <x:v>0.26440860936006333</x:v>
      </x:c>
      <x:c r="N131" s="5" t="n">
        <x:f>ABS(L131)</x:f>
        <x:v>4222.8695469906925</x:v>
      </x:c>
      <x:c r="O131" s="6" t="n">
        <x:f>ABS(M131)</x:f>
        <x:v>0.26440860936006333</x:v>
      </x:c>
      <x:c r="P131" s="5" t="n">
        <x:v>16706.46471955029</x:v>
      </x:c>
      <x:c r="Q131" s="5" t="n">
        <x:f>P131-$D131</x:f>
        <x:v>735.4660549791188</x:v>
      </x:c>
      <x:c r="R131" s="6" t="n">
        <x:f>Q131/$D131</x:f>
        <x:v>0.046050098082508754</x:v>
      </x:c>
      <x:c r="S131" s="5" t="n">
        <x:f>ABS(Q131)</x:f>
        <x:v>735.4660549791188</x:v>
      </x:c>
      <x:c r="T131" s="6" t="n">
        <x:f>ABS(R131)</x:f>
        <x:v>0.046050098082508754</x:v>
      </x:c>
    </x:row>
    <x:row r="132">
      <x:c r="A132" s="4"/>
      <x:c r="B132" s="4" t="str">
        <x:v>Huarina</x:v>
      </x:c>
      <x:c r="C132" s="5" t="n">
        <x:v>7948</x:v>
      </x:c>
      <x:c r="D132" s="5" t="n">
        <x:v>8490.176736859687</x:v>
      </x:c>
      <x:c r="E132" s="5" t="n">
        <x:v>8679</x:v>
      </x:c>
      <x:c r="F132" s="5" t="n">
        <x:v>7485</x:v>
      </x:c>
      <x:c r="G132" s="5" t="n">
        <x:f>F132-$D132</x:f>
        <x:v>-1005.1767368596866</x:v>
      </x:c>
      <x:c r="H132" s="6" t="n">
        <x:f>G132/$D132</x:f>
        <x:v>-0.11839291077366634</x:v>
      </x:c>
      <x:c r="I132" s="5" t="n">
        <x:f>ABS(G132)</x:f>
        <x:v>1005.1767368596866</x:v>
      </x:c>
      <x:c r="J132" s="6" t="n">
        <x:f>ABS(H132)</x:f>
        <x:v>0.11839291077366634</x:v>
      </x:c>
      <x:c r="K132" s="5" t="n">
        <x:v>7430.653040051498</x:v>
      </x:c>
      <x:c r="L132" s="5" t="n">
        <x:f>K132-$D132</x:f>
        <x:v>-1059.523696808189</x:v>
      </x:c>
      <x:c r="M132" s="6" t="n">
        <x:f>L132/$D132</x:f>
        <x:v>-0.12479406844480855</x:v>
      </x:c>
      <x:c r="N132" s="5" t="n">
        <x:f>ABS(L132)</x:f>
        <x:v>1059.523696808189</x:v>
      </x:c>
      <x:c r="O132" s="6" t="n">
        <x:f>ABS(M132)</x:f>
        <x:v>0.12479406844480855</x:v>
      </x:c>
      <x:c r="P132" s="5" t="n">
        <x:v>8653.877961399168</x:v>
      </x:c>
      <x:c r="Q132" s="5" t="n">
        <x:f>P132-$D132</x:f>
        <x:v>163.7012245394817</x:v>
      </x:c>
      <x:c r="R132" s="6" t="n">
        <x:f>Q132/$D132</x:f>
        <x:v>0.019281250510225643</x:v>
      </x:c>
      <x:c r="S132" s="5" t="n">
        <x:f>ABS(Q132)</x:f>
        <x:v>163.7012245394817</x:v>
      </x:c>
      <x:c r="T132" s="6" t="n">
        <x:f>ABS(R132)</x:f>
        <x:v>0.019281250510225643</x:v>
      </x:c>
    </x:row>
    <x:row r="133">
      <x:c r="A133" s="4"/>
      <x:c r="B133" s="4" t="str">
        <x:v>Huatajata</x:v>
      </x:c>
      <x:c r="C133" s="5" t="n">
        <x:v>3927</x:v>
      </x:c>
      <x:c r="D133" s="5" t="n">
        <x:v>4790.054298690807</x:v>
      </x:c>
      <x:c r="E133" s="5" t="n">
        <x:v>5118</x:v>
      </x:c>
      <x:c r="F133" s="5" t="n">
        <x:v>4522</x:v>
      </x:c>
      <x:c r="G133" s="5" t="n">
        <x:f>F133-$D133</x:f>
        <x:v>-268.0542986908067</x:v>
      </x:c>
      <x:c r="H133" s="6" t="n">
        <x:f>G133/$D133</x:f>
        <x:v>-0.05596059709888256</x:v>
      </x:c>
      <x:c r="I133" s="5" t="n">
        <x:f>ABS(G133)</x:f>
        <x:v>268.0542986908067</x:v>
      </x:c>
      <x:c r="J133" s="6" t="n">
        <x:f>ABS(H133)</x:f>
        <x:v>0.05596059709888256</x:v>
      </x:c>
      <x:c r="K133" s="5" t="n">
        <x:v>2363.7983581577364</x:v>
      </x:c>
      <x:c r="L133" s="5" t="n">
        <x:f>K133-$D133</x:f>
        <x:v>-2426.2559405330703</x:v>
      </x:c>
      <x:c r="M133" s="6" t="n">
        <x:f>L133/$D133</x:f>
        <x:v>-0.5065195067196215</x:v>
      </x:c>
      <x:c r="N133" s="5" t="n">
        <x:f>ABS(L133)</x:f>
        <x:v>2426.2559405330703</x:v>
      </x:c>
      <x:c r="O133" s="6" t="n">
        <x:f>ABS(M133)</x:f>
        <x:v>0.5065195067196215</x:v>
      </x:c>
      <x:c r="P133" s="5" t="n">
        <x:v>2750.9010316078784</x:v>
      </x:c>
      <x:c r="Q133" s="5" t="n">
        <x:f>P133-$D133</x:f>
        <x:v>-2039.1532670829283</x:v>
      </x:c>
      <x:c r="R133" s="6" t="n">
        <x:f>Q133/$D133</x:f>
        <x:v>-0.4257056684389276</x:v>
      </x:c>
      <x:c r="S133" s="5" t="n">
        <x:f>ABS(Q133)</x:f>
        <x:v>2039.1532670829283</x:v>
      </x:c>
      <x:c r="T133" s="6" t="n">
        <x:f>ABS(R133)</x:f>
        <x:v>0.4257056684389276</x:v>
      </x:c>
    </x:row>
    <x:row r="134">
      <x:c r="A134" s="4"/>
      <x:c r="B134" s="4" t="str">
        <x:v>Humanata</x:v>
      </x:c>
      <x:c r="C134" s="5" t="n">
        <x:v>5342</x:v>
      </x:c>
      <x:c r="D134" s="5" t="n">
        <x:v>5577.289375305654</x:v>
      </x:c>
      <x:c r="E134" s="5" t="n">
        <x:v>5658</x:v>
      </x:c>
      <x:c r="F134" s="5" t="n">
        <x:v>5891</x:v>
      </x:c>
      <x:c r="G134" s="5" t="n">
        <x:f>F134-$D134</x:f>
        <x:v>313.7106246943458</x:v>
      </x:c>
      <x:c r="H134" s="6" t="n">
        <x:f>G134/$D134</x:f>
        <x:v>0.05624786586892014</x:v>
      </x:c>
      <x:c r="I134" s="5" t="n">
        <x:f>ABS(G134)</x:f>
        <x:v>313.7106246943458</x:v>
      </x:c>
      <x:c r="J134" s="6" t="n">
        <x:f>ABS(H134)</x:f>
        <x:v>0.05624786586892014</x:v>
      </x:c>
      <x:c r="K134" s="5" t="n">
        <x:v>4823.209444282325</x:v>
      </x:c>
      <x:c r="L134" s="5" t="n">
        <x:f>K134-$D134</x:f>
        <x:v>-754.0799310233288</x:v>
      </x:c>
      <x:c r="M134" s="6" t="n">
        <x:f>L134/$D134</x:f>
        <x:v>-0.13520545201798906</x:v>
      </x:c>
      <x:c r="N134" s="5" t="n">
        <x:f>ABS(L134)</x:f>
        <x:v>754.0799310233288</x:v>
      </x:c>
      <x:c r="O134" s="6" t="n">
        <x:f>ABS(M134)</x:f>
        <x:v>0.13520545201798906</x:v>
      </x:c>
      <x:c r="P134" s="5" t="n">
        <x:v>3492.889878820773</x:v>
      </x:c>
      <x:c r="Q134" s="5" t="n">
        <x:f>P134-$D134</x:f>
        <x:v>-2084.399496484881</x:v>
      </x:c>
      <x:c r="R134" s="6" t="n">
        <x:f>Q134/$D134</x:f>
        <x:v>-0.37372984548979926</x:v>
      </x:c>
      <x:c r="S134" s="5" t="n">
        <x:f>ABS(Q134)</x:f>
        <x:v>2084.399496484881</x:v>
      </x:c>
      <x:c r="T134" s="6" t="n">
        <x:f>ABS(R134)</x:f>
        <x:v>0.37372984548979926</x:v>
      </x:c>
    </x:row>
    <x:row r="135">
      <x:c r="A135" s="4"/>
      <x:c r="B135" s="4" t="str">
        <x:v>Ichoca</x:v>
      </x:c>
      <x:c r="C135" s="5" t="n">
        <x:v>7913</x:v>
      </x:c>
      <x:c r="D135" s="5" t="n">
        <x:v>9112.887875526658</x:v>
      </x:c>
      <x:c r="E135" s="5" t="n">
        <x:v>9552</x:v>
      </x:c>
      <x:c r="F135" s="5" t="n">
        <x:v>6844</x:v>
      </x:c>
      <x:c r="G135" s="5" t="n">
        <x:f>F135-$D135</x:f>
        <x:v>-2268.887875526658</x:v>
      </x:c>
      <x:c r="H135" s="6" t="n">
        <x:f>G135/$D135</x:f>
        <x:v>-0.2489757260834873</x:v>
      </x:c>
      <x:c r="I135" s="5" t="n">
        <x:f>ABS(G135)</x:f>
        <x:v>2268.887875526658</x:v>
      </x:c>
      <x:c r="J135" s="6" t="n">
        <x:f>ABS(H135)</x:f>
        <x:v>0.2489757260834873</x:v>
      </x:c>
      <x:c r="K135" s="5" t="n">
        <x:v>9038.418655319574</x:v>
      </x:c>
      <x:c r="L135" s="5" t="n">
        <x:f>K135-$D135</x:f>
        <x:v>-74.46922020708371</x:v>
      </x:c>
      <x:c r="M135" s="6" t="n">
        <x:f>L135/$D135</x:f>
        <x:v>-0.008171857398473691</x:v>
      </x:c>
      <x:c r="N135" s="5" t="n">
        <x:f>ABS(L135)</x:f>
        <x:v>74.46922020708371</x:v>
      </x:c>
      <x:c r="O135" s="6" t="n">
        <x:f>ABS(M135)</x:f>
        <x:v>0.008171857398473691</x:v>
      </x:c>
      <x:c r="P135" s="5" t="n">
        <x:v>6098.65321243598</x:v>
      </x:c>
      <x:c r="Q135" s="5" t="n">
        <x:f>P135-$D135</x:f>
        <x:v>-3014.2346630906777</x:v>
      </x:c>
      <x:c r="R135" s="6" t="n">
        <x:f>Q135/$D135</x:f>
        <x:v>-0.3307661308097108</x:v>
      </x:c>
      <x:c r="S135" s="5" t="n">
        <x:f>ABS(Q135)</x:f>
        <x:v>3014.2346630906777</x:v>
      </x:c>
      <x:c r="T135" s="6" t="n">
        <x:f>ABS(R135)</x:f>
        <x:v>0.3307661308097108</x:v>
      </x:c>
    </x:row>
    <x:row r="136">
      <x:c r="A136" s="4"/>
      <x:c r="B136" s="4" t="str">
        <x:v>Inquisivi</x:v>
      </x:c>
      <x:c r="C136" s="5" t="n">
        <x:v>14717</x:v>
      </x:c>
      <x:c r="D136" s="5" t="n">
        <x:v>17598.27253274536</x:v>
      </x:c>
      <x:c r="E136" s="5" t="n">
        <x:v>18679</x:v>
      </x:c>
      <x:c r="F136" s="5" t="n">
        <x:v>12475</x:v>
      </x:c>
      <x:c r="G136" s="5" t="n">
        <x:f>F136-$D136</x:f>
        <x:v>-5123.272532745359</x:v>
      </x:c>
      <x:c r="H136" s="6" t="n">
        <x:f>G136/$D136</x:f>
        <x:v>-0.2911236045022267</x:v>
      </x:c>
      <x:c r="I136" s="5" t="n">
        <x:f>ABS(G136)</x:f>
        <x:v>5123.272532745359</x:v>
      </x:c>
      <x:c r="J136" s="6" t="n">
        <x:f>ABS(H136)</x:f>
        <x:v>0.2911236045022267</x:v>
      </x:c>
      <x:c r="K136" s="5" t="n">
        <x:v>17200.319032281514</x:v>
      </x:c>
      <x:c r="L136" s="5" t="n">
        <x:f>K136-$D136</x:f>
        <x:v>-397.95350046384556</x:v>
      </x:c>
      <x:c r="M136" s="6" t="n">
        <x:f>L136/$D136</x:f>
        <x:v>-0.022613213866495577</x:v>
      </x:c>
      <x:c r="N136" s="5" t="n">
        <x:f>ABS(L136)</x:f>
        <x:v>397.95350046384556</x:v>
      </x:c>
      <x:c r="O136" s="6" t="n">
        <x:f>ABS(M136)</x:f>
        <x:v>0.022613213866495577</x:v>
      </x:c>
      <x:c r="P136" s="5" t="n">
        <x:v>15693.964892243615</x:v>
      </x:c>
      <x:c r="Q136" s="5" t="n">
        <x:f>P136-$D136</x:f>
        <x:v>-1904.3076405017437</x:v>
      </x:c>
      <x:c r="R136" s="6" t="n">
        <x:f>Q136/$D136</x:f>
        <x:v>-0.1082099187268734</x:v>
      </x:c>
      <x:c r="S136" s="5" t="n">
        <x:f>ABS(Q136)</x:f>
        <x:v>1904.3076405017437</x:v>
      </x:c>
      <x:c r="T136" s="6" t="n">
        <x:f>ABS(R136)</x:f>
        <x:v>0.1082099187268734</x:v>
      </x:c>
    </x:row>
    <x:row r="137">
      <x:c r="A137" s="4"/>
      <x:c r="B137" s="4" t="str">
        <x:v>Irupana</x:v>
      </x:c>
      <x:c r="C137" s="5" t="n">
        <x:v>17276</x:v>
      </x:c>
      <x:c r="D137" s="5" t="n">
        <x:v>21606.480951465655</x:v>
      </x:c>
      <x:c r="E137" s="5" t="n">
        <x:v>23279</x:v>
      </x:c>
      <x:c r="F137" s="5" t="n">
        <x:v>14897</x:v>
      </x:c>
      <x:c r="G137" s="5" t="n">
        <x:f>F137-$D137</x:f>
        <x:v>-6709.480951465655</x:v>
      </x:c>
      <x:c r="H137" s="6" t="n">
        <x:f>G137/$D137</x:f>
        <x:v>-0.3105309451611797</x:v>
      </x:c>
      <x:c r="I137" s="5" t="n">
        <x:f>ABS(G137)</x:f>
        <x:v>6709.480951465655</x:v>
      </x:c>
      <x:c r="J137" s="6" t="n">
        <x:f>ABS(H137)</x:f>
        <x:v>0.3105309451611797</x:v>
      </x:c>
      <x:c r="K137" s="5" t="n">
        <x:v>20862.666862314876</x:v>
      </x:c>
      <x:c r="L137" s="5" t="n">
        <x:f>K137-$D137</x:f>
        <x:v>-743.8140891507792</x:v>
      </x:c>
      <x:c r="M137" s="6" t="n">
        <x:f>L137/$D137</x:f>
        <x:v>-0.03442550829177591</x:v>
      </x:c>
      <x:c r="N137" s="5" t="n">
        <x:f>ABS(L137)</x:f>
        <x:v>743.8140891507792</x:v>
      </x:c>
      <x:c r="O137" s="6" t="n">
        <x:f>ABS(M137)</x:f>
        <x:v>0.03442550829177591</x:v>
      </x:c>
      <x:c r="P137" s="5" t="n">
        <x:v>19590.55848618896</x:v>
      </x:c>
      <x:c r="Q137" s="5" t="n">
        <x:f>P137-$D137</x:f>
        <x:v>-2015.922465276697</x:v>
      </x:c>
      <x:c r="R137" s="6" t="n">
        <x:f>Q137/$D137</x:f>
        <x:v>-0.0933017491281915</x:v>
      </x:c>
      <x:c r="S137" s="5" t="n">
        <x:f>ABS(Q137)</x:f>
        <x:v>2015.922465276697</x:v>
      </x:c>
      <x:c r="T137" s="6" t="n">
        <x:f>ABS(R137)</x:f>
        <x:v>0.0933017491281915</x:v>
      </x:c>
    </x:row>
    <x:row r="138">
      <x:c r="A138" s="4"/>
      <x:c r="B138" s="4" t="str">
        <x:v>Ixiamas</x:v>
      </x:c>
      <x:c r="C138" s="5" t="n">
        <x:v>9362</x:v>
      </x:c>
      <x:c r="D138" s="5" t="n">
        <x:v>11694.745847451506</x:v>
      </x:c>
      <x:c r="E138" s="5" t="n">
        <x:v>12595</x:v>
      </x:c>
      <x:c r="F138" s="5" t="n">
        <x:v>9635</x:v>
      </x:c>
      <x:c r="G138" s="5" t="n">
        <x:f>F138-$D138</x:f>
        <x:v>-2059.745847451506</x:v>
      </x:c>
      <x:c r="H138" s="6" t="n">
        <x:f>G138/$D138</x:f>
        <x:v>-0.17612574692252603</x:v>
      </x:c>
      <x:c r="I138" s="5" t="n">
        <x:f>ABS(G138)</x:f>
        <x:v>2059.745847451506</x:v>
      </x:c>
      <x:c r="J138" s="6" t="n">
        <x:f>ABS(H138)</x:f>
        <x:v>0.17612574692252603</x:v>
      </x:c>
      <x:c r="K138" s="5" t="n">
        <x:v>15857.659021669106</x:v>
      </x:c>
      <x:c r="L138" s="5" t="n">
        <x:f>K138-$D138</x:f>
        <x:v>4162.9131742176</x:v>
      </x:c>
      <x:c r="M138" s="6" t="n">
        <x:f>L138/$D138</x:f>
        <x:v>0.35596439875816305</x:v>
      </x:c>
      <x:c r="N138" s="5" t="n">
        <x:f>ABS(L138)</x:f>
        <x:v>4162.9131742176</x:v>
      </x:c>
      <x:c r="O138" s="6" t="n">
        <x:f>ABS(M138)</x:f>
        <x:v>0.35596439875816305</x:v>
      </x:c>
      <x:c r="P138" s="5" t="n">
        <x:v>10520.708848889471</x:v>
      </x:c>
      <x:c r="Q138" s="5" t="n">
        <x:f>P138-$D138</x:f>
        <x:v>-1174.0369985620346</x:v>
      </x:c>
      <x:c r="R138" s="6" t="n">
        <x:f>Q138/$D138</x:f>
        <x:v>-0.10039012509347334</x:v>
      </x:c>
      <x:c r="S138" s="5" t="n">
        <x:f>ABS(Q138)</x:f>
        <x:v>1174.0369985620346</x:v>
      </x:c>
      <x:c r="T138" s="6" t="n">
        <x:f>ABS(R138)</x:f>
        <x:v>0.10039012509347334</x:v>
      </x:c>
    </x:row>
    <x:row r="139">
      <x:c r="A139" s="4"/>
      <x:c r="B139" s="4" t="str">
        <x:v>Jesús de Machaka</x:v>
      </x:c>
      <x:c r="C139" s="5" t="n">
        <x:v>15039</x:v>
      </x:c>
      <x:c r="D139" s="5" t="n">
        <x:v>16498.62864718702</x:v>
      </x:c>
      <x:c r="E139" s="5" t="n">
        <x:v>17016</x:v>
      </x:c>
      <x:c r="F139" s="5" t="n">
        <x:v>12067</x:v>
      </x:c>
      <x:c r="G139" s="5" t="n">
        <x:f>F139-$D139</x:f>
        <x:v>-4431.628647187019</x:v>
      </x:c>
      <x:c r="H139" s="6" t="n">
        <x:f>G139/$D139</x:f>
        <x:v>-0.268605878825123</x:v>
      </x:c>
      <x:c r="I139" s="5" t="n">
        <x:f>ABS(G139)</x:f>
        <x:v>4431.628647187019</x:v>
      </x:c>
      <x:c r="J139" s="6" t="n">
        <x:f>ABS(H139)</x:f>
        <x:v>0.268605878825123</x:v>
      </x:c>
      <x:c r="K139" s="5" t="n">
        <x:v>18136.968640299307</x:v>
      </x:c>
      <x:c r="L139" s="5" t="n">
        <x:f>K139-$D139</x:f>
        <x:v>1638.3399931122876</x:v>
      </x:c>
      <x:c r="M139" s="6" t="n">
        <x:f>L139/$D139</x:f>
        <x:v>0.09930158609828588</x:v>
      </x:c>
      <x:c r="N139" s="5" t="n">
        <x:f>ABS(L139)</x:f>
        <x:v>1638.3399931122876</x:v>
      </x:c>
      <x:c r="O139" s="6" t="n">
        <x:f>ABS(M139)</x:f>
        <x:v>0.09930158609828588</x:v>
      </x:c>
      <x:c r="P139" s="5" t="n">
        <x:v>17263.690123189135</x:v>
      </x:c>
      <x:c r="Q139" s="5" t="n">
        <x:f>P139-$D139</x:f>
        <x:v>765.0614760021163</x:v>
      </x:c>
      <x:c r="R139" s="6" t="n">
        <x:f>Q139/$D139</x:f>
        <x:v>0.04637121619999354</x:v>
      </x:c>
      <x:c r="S139" s="5" t="n">
        <x:f>ABS(Q139)</x:f>
        <x:v>765.0614760021163</x:v>
      </x:c>
      <x:c r="T139" s="6" t="n">
        <x:f>ABS(R139)</x:f>
        <x:v>0.04637121619999354</x:v>
      </x:c>
    </x:row>
    <x:row r="140">
      <x:c r="A140" s="4"/>
      <x:c r="B140" s="4" t="str">
        <x:v>La (Marka) San Andrés de Machaca</x:v>
      </x:c>
      <x:c r="C140" s="5" t="n">
        <x:v>6145</x:v>
      </x:c>
      <x:c r="D140" s="5" t="n">
        <x:v>7444.434552174091</x:v>
      </x:c>
      <x:c r="E140" s="5" t="n">
        <x:v>7936</x:v>
      </x:c>
      <x:c r="F140" s="5" t="n">
        <x:v>5965</x:v>
      </x:c>
      <x:c r="G140" s="5" t="n">
        <x:f>F140-$D140</x:f>
        <x:v>-1479.4345521740906</x:v>
      </x:c>
      <x:c r="H140" s="6" t="n">
        <x:f>G140/$D140</x:f>
        <x:v>-0.19873027854641195</x:v>
      </x:c>
      <x:c r="I140" s="5" t="n">
        <x:f>ABS(G140)</x:f>
        <x:v>1479.4345521740906</x:v>
      </x:c>
      <x:c r="J140" s="6" t="n">
        <x:f>ABS(H140)</x:f>
        <x:v>0.19873027854641195</x:v>
      </x:c>
      <x:c r="K140" s="5" t="n">
        <x:v>12421.742359704367</x:v>
      </x:c>
      <x:c r="L140" s="5" t="n">
        <x:f>K140-$D140</x:f>
        <x:v>4977.3078075302765</x:v>
      </x:c>
      <x:c r="M140" s="6" t="n">
        <x:f>L140/$D140</x:f>
        <x:v>0.6685944745228086</x:v>
      </x:c>
      <x:c r="N140" s="5" t="n">
        <x:f>ABS(L140)</x:f>
        <x:v>4977.3078075302765</x:v>
      </x:c>
      <x:c r="O140" s="6" t="n">
        <x:f>ABS(M140)</x:f>
        <x:v>0.6685944745228086</x:v>
      </x:c>
      <x:c r="P140" s="5" t="n">
        <x:v>7109.743482474063</x:v>
      </x:c>
      <x:c r="Q140" s="5" t="n">
        <x:f>P140-$D140</x:f>
        <x:v>-334.6910697000276</x:v>
      </x:c>
      <x:c r="R140" s="6" t="n">
        <x:f>Q140/$D140</x:f>
        <x:v>-0.0449585616414995</x:v>
      </x:c>
      <x:c r="S140" s="5" t="n">
        <x:f>ABS(Q140)</x:f>
        <x:v>334.6910697000276</x:v>
      </x:c>
      <x:c r="T140" s="6" t="n">
        <x:f>ABS(R140)</x:f>
        <x:v>0.0449585616414995</x:v>
      </x:c>
    </x:row>
    <x:row r="141">
      <x:c r="A141" s="4"/>
      <x:c r="B141" s="4" t="str">
        <x:v>La Asunta</x:v>
      </x:c>
      <x:c r="C141" s="5" t="n">
        <x:v>40178</x:v>
      </x:c>
      <x:c r="D141" s="5" t="n">
        <x:v>44170.044657810184</x:v>
      </x:c>
      <x:c r="E141" s="5" t="n">
        <x:v>45587</x:v>
      </x:c>
      <x:c r="F141" s="5" t="n">
        <x:v>39237</x:v>
      </x:c>
      <x:c r="G141" s="5" t="n">
        <x:f>F141-$D141</x:f>
        <x:v>-4933.044657810184</x:v>
      </x:c>
      <x:c r="H141" s="6" t="n">
        <x:f>G141/$D141</x:f>
        <x:v>-0.1116830353246636</x:v>
      </x:c>
      <x:c r="I141" s="5" t="n">
        <x:f>ABS(G141)</x:f>
        <x:v>4933.044657810184</x:v>
      </x:c>
      <x:c r="J141" s="6" t="n">
        <x:f>ABS(H141)</x:f>
        <x:v>0.1116830353246636</x:v>
      </x:c>
      <x:c r="K141" s="5" t="n">
        <x:v>36235.02421869353</x:v>
      </x:c>
      <x:c r="L141" s="5" t="n">
        <x:f>K141-$D141</x:f>
        <x:v>-7935.020439116655</x:v>
      </x:c>
      <x:c r="M141" s="6" t="n">
        <x:f>L141/$D141</x:f>
        <x:v>-0.17964710021441146</x:v>
      </x:c>
      <x:c r="N141" s="5" t="n">
        <x:f>ABS(L141)</x:f>
        <x:v>7935.020439116655</x:v>
      </x:c>
      <x:c r="O141" s="6" t="n">
        <x:f>ABS(M141)</x:f>
        <x:v>0.17964710021441146</x:v>
      </x:c>
      <x:c r="P141" s="5" t="n">
        <x:v>46653.979685274026</x:v>
      </x:c>
      <x:c r="Q141" s="5" t="n">
        <x:f>P141-$D141</x:f>
        <x:v>2483.935027463842</x:v>
      </x:c>
      <x:c r="R141" s="6" t="n">
        <x:f>Q141/$D141</x:f>
        <x:v>0.05623573728999231</x:v>
      </x:c>
      <x:c r="S141" s="5" t="n">
        <x:f>ABS(Q141)</x:f>
        <x:v>2483.935027463842</x:v>
      </x:c>
      <x:c r="T141" s="6" t="n">
        <x:f>ABS(R141)</x:f>
        <x:v>0.05623573728999231</x:v>
      </x:c>
    </x:row>
    <x:row r="142">
      <x:c r="A142" s="4"/>
      <x:c r="B142" s="4" t="str">
        <x:v>Laja</x:v>
      </x:c>
      <x:c r="C142" s="5" t="n">
        <x:v>24531</x:v>
      </x:c>
      <x:c r="D142" s="5" t="n">
        <x:v>34499.10204663372</x:v>
      </x:c>
      <x:c r="E142" s="5" t="n">
        <x:v>38652</x:v>
      </x:c>
      <x:c r="F142" s="5" t="n">
        <x:v>17848</x:v>
      </x:c>
      <x:c r="G142" s="5" t="n">
        <x:f>F142-$D142</x:f>
        <x:v>-16651.10204663372</x:v>
      </x:c>
      <x:c r="H142" s="6" t="n">
        <x:f>G142/$D142</x:f>
        <x:v>-0.4826532013536412</x:v>
      </x:c>
      <x:c r="I142" s="5" t="n">
        <x:f>ABS(G142)</x:f>
        <x:v>16651.10204663372</x:v>
      </x:c>
      <x:c r="J142" s="6" t="n">
        <x:f>ABS(H142)</x:f>
        <x:v>0.4826532013536412</x:v>
      </x:c>
      <x:c r="K142" s="5" t="n">
        <x:v>28608.2335393114</x:v>
      </x:c>
      <x:c r="L142" s="5" t="n">
        <x:f>K142-$D142</x:f>
        <x:v>-5890.8685073223205</x:v>
      </x:c>
      <x:c r="M142" s="6" t="n">
        <x:f>L142/$D142</x:f>
        <x:v>-0.17075425613569345</x:v>
      </x:c>
      <x:c r="N142" s="5" t="n">
        <x:f>ABS(L142)</x:f>
        <x:v>5890.8685073223205</x:v>
      </x:c>
      <x:c r="O142" s="6" t="n">
        <x:f>ABS(M142)</x:f>
        <x:v>0.17075425613569345</x:v>
      </x:c>
      <x:c r="P142" s="5" t="n">
        <x:v>29696.02387252453</x:v>
      </x:c>
      <x:c r="Q142" s="5" t="n">
        <x:f>P142-$D142</x:f>
        <x:v>-4803.078174109192</x:v>
      </x:c>
      <x:c r="R142" s="6" t="n">
        <x:f>Q142/$D142</x:f>
        <x:v>-0.13922328087312802</x:v>
      </x:c>
      <x:c r="S142" s="5" t="n">
        <x:f>ABS(Q142)</x:f>
        <x:v>4803.078174109192</x:v>
      </x:c>
      <x:c r="T142" s="6" t="n">
        <x:f>ABS(R142)</x:f>
        <x:v>0.13922328087312802</x:v>
      </x:c>
    </x:row>
    <x:row r="143">
      <x:c r="A143" s="4"/>
      <x:c r="B143" s="4" t="str">
        <x:v>Luribay</x:v>
      </x:c>
      <x:c r="C143" s="5" t="n">
        <x:v>11139</x:v>
      </x:c>
      <x:c r="D143" s="5" t="n">
        <x:v>10810.373398078269</x:v>
      </x:c>
      <x:c r="E143" s="5" t="n">
        <x:v>10703</x:v>
      </x:c>
      <x:c r="F143" s="5" t="n">
        <x:v>10185</x:v>
      </x:c>
      <x:c r="G143" s="5" t="n">
        <x:f>F143-$D143</x:f>
        <x:v>-625.373398078269</x:v>
      </x:c>
      <x:c r="H143" s="6" t="n">
        <x:f>G143/$D143</x:f>
        <x:v>-0.05784937994736056</x:v>
      </x:c>
      <x:c r="I143" s="5" t="n">
        <x:f>ABS(G143)</x:f>
        <x:v>625.373398078269</x:v>
      </x:c>
      <x:c r="J143" s="6" t="n">
        <x:f>ABS(H143)</x:f>
        <x:v>0.05784937994736056</x:v>
      </x:c>
      <x:c r="K143" s="5" t="n">
        <x:v>5826.631045299153</x:v>
      </x:c>
      <x:c r="L143" s="5" t="n">
        <x:f>K143-$D143</x:f>
        <x:v>-4983.742352779116</x:v>
      </x:c>
      <x:c r="M143" s="6" t="n">
        <x:f>L143/$D143</x:f>
        <x:v>-0.4610148206041673</x:v>
      </x:c>
      <x:c r="N143" s="5" t="n">
        <x:f>ABS(L143)</x:f>
        <x:v>4983.742352779116</x:v>
      </x:c>
      <x:c r="O143" s="6" t="n">
        <x:f>ABS(M143)</x:f>
        <x:v>0.4610148206041673</x:v>
      </x:c>
      <x:c r="P143" s="5" t="n">
        <x:v>11578.132187557068</x:v>
      </x:c>
      <x:c r="Q143" s="5" t="n">
        <x:f>P143-$D143</x:f>
        <x:v>767.7587894787994</x:v>
      </x:c>
      <x:c r="R143" s="6" t="n">
        <x:f>Q143/$D143</x:f>
        <x:v>0.07102056156684484</x:v>
      </x:c>
      <x:c r="S143" s="5" t="n">
        <x:f>ABS(Q143)</x:f>
        <x:v>767.7587894787994</x:v>
      </x:c>
      <x:c r="T143" s="6" t="n">
        <x:f>ABS(R143)</x:f>
        <x:v>0.07102056156684484</x:v>
      </x:c>
    </x:row>
    <x:row r="144">
      <x:c r="A144" s="4"/>
      <x:c r="B144" s="4" t="str">
        <x:v>Malla</x:v>
      </x:c>
      <x:c r="C144" s="5" t="n">
        <x:v>5180</x:v>
      </x:c>
      <x:c r="D144" s="5" t="n">
        <x:v>5267.504552667626</x:v>
      </x:c>
      <x:c r="E144" s="5" t="n">
        <x:v>5297</x:v>
      </x:c>
      <x:c r="F144" s="5" t="n">
        <x:v>3105</x:v>
      </x:c>
      <x:c r="G144" s="5" t="n">
        <x:f>F144-$D144</x:f>
        <x:v>-2162.504552667626</x:v>
      </x:c>
      <x:c r="H144" s="6" t="n">
        <x:f>G144/$D144</x:f>
        <x:v>-0.41053681701565253</x:v>
      </x:c>
      <x:c r="I144" s="5" t="n">
        <x:f>ABS(G144)</x:f>
        <x:v>2162.504552667626</x:v>
      </x:c>
      <x:c r="J144" s="6" t="n">
        <x:f>ABS(H144)</x:f>
        <x:v>0.41053681701565253</x:v>
      </x:c>
      <x:c r="K144" s="5" t="n">
        <x:v>9327.43031634626</x:v>
      </x:c>
      <x:c r="L144" s="5" t="n">
        <x:f>K144-$D144</x:f>
        <x:v>4059.9257636786333</x:v>
      </x:c>
      <x:c r="M144" s="6" t="n">
        <x:f>L144/$D144</x:f>
        <x:v>0.770749360173322</x:v>
      </x:c>
      <x:c r="N144" s="5" t="n">
        <x:f>ABS(L144)</x:f>
        <x:v>4059.9257636786333</x:v>
      </x:c>
      <x:c r="O144" s="6" t="n">
        <x:f>ABS(M144)</x:f>
        <x:v>0.770749360173322</x:v>
      </x:c>
      <x:c r="P144" s="5" t="n">
        <x:v>5796.000661694605</x:v>
      </x:c>
      <x:c r="Q144" s="5" t="n">
        <x:f>P144-$D144</x:f>
        <x:v>528.496109026979</x:v>
      </x:c>
      <x:c r="R144" s="6" t="n">
        <x:f>Q144/$D144</x:f>
        <x:v>0.10033140052234646</x:v>
      </x:c>
      <x:c r="S144" s="5" t="n">
        <x:f>ABS(Q144)</x:f>
        <x:v>528.496109026979</x:v>
      </x:c>
      <x:c r="T144" s="6" t="n">
        <x:f>ABS(R144)</x:f>
        <x:v>0.10033140052234646</x:v>
      </x:c>
    </x:row>
    <x:row r="145">
      <x:c r="A145" s="4"/>
      <x:c r="B145" s="4" t="str">
        <x:v>Mapiri</x:v>
      </x:c>
      <x:c r="C145" s="5" t="n">
        <x:v>13891</x:v>
      </x:c>
      <x:c r="D145" s="5" t="n">
        <x:v>19505.971806330865</x:v>
      </x:c>
      <x:c r="E145" s="5" t="n">
        <x:v>21843</x:v>
      </x:c>
      <x:c r="F145" s="5" t="n">
        <x:v>14643</x:v>
      </x:c>
      <x:c r="G145" s="5" t="n">
        <x:f>F145-$D145</x:f>
        <x:v>-4862.971806330865</x:v>
      </x:c>
      <x:c r="H145" s="6" t="n">
        <x:f>G145/$D145</x:f>
        <x:v>-0.24930682021966918</x:v>
      </x:c>
      <x:c r="I145" s="5" t="n">
        <x:f>ABS(G145)</x:f>
        <x:v>4862.971806330865</x:v>
      </x:c>
      <x:c r="J145" s="6" t="n">
        <x:f>ABS(H145)</x:f>
        <x:v>0.24930682021966918</x:v>
      </x:c>
      <x:c r="K145" s="5" t="n">
        <x:v>11605.226424843417</x:v>
      </x:c>
      <x:c r="L145" s="5" t="n">
        <x:f>K145-$D145</x:f>
        <x:v>-7900.745381487448</x:v>
      </x:c>
      <x:c r="M145" s="6" t="n">
        <x:f>L145/$D145</x:f>
        <x:v>-0.4050423870152001</x:v>
      </x:c>
      <x:c r="N145" s="5" t="n">
        <x:f>ABS(L145)</x:f>
        <x:v>7900.745381487448</x:v>
      </x:c>
      <x:c r="O145" s="6" t="n">
        <x:f>ABS(M145)</x:f>
        <x:v>0.4050423870152001</x:v>
      </x:c>
      <x:c r="P145" s="5" t="n">
        <x:v>15835.241962472734</x:v>
      </x:c>
      <x:c r="Q145" s="5" t="n">
        <x:f>P145-$D145</x:f>
        <x:v>-3670.729843858131</x:v>
      </x:c>
      <x:c r="R145" s="6" t="n">
        <x:f>Q145/$D145</x:f>
        <x:v>-0.18818492512466145</x:v>
      </x:c>
      <x:c r="S145" s="5" t="n">
        <x:f>ABS(Q145)</x:f>
        <x:v>3670.729843858131</x:v>
      </x:c>
      <x:c r="T145" s="6" t="n">
        <x:f>ABS(R145)</x:f>
        <x:v>0.18818492512466145</x:v>
      </x:c>
    </x:row>
    <x:row r="146">
      <x:c r="A146" s="4"/>
      <x:c r="B146" s="4" t="str">
        <x:v>Mecapaca</x:v>
      </x:c>
      <x:c r="C146" s="5" t="n">
        <x:v>15834</x:v>
      </x:c>
      <x:c r="D146" s="5" t="n">
        <x:v>19180.2351575081</x:v>
      </x:c>
      <x:c r="E146" s="5" t="n">
        <x:v>20446</x:v>
      </x:c>
      <x:c r="F146" s="5" t="n">
        <x:v>13248</x:v>
      </x:c>
      <x:c r="G146" s="5" t="n">
        <x:f>F146-$D146</x:f>
        <x:v>-5932.235157508101</x:v>
      </x:c>
      <x:c r="H146" s="6" t="n">
        <x:f>G146/$D146</x:f>
        <x:v>-0.3092889690242368</x:v>
      </x:c>
      <x:c r="I146" s="5" t="n">
        <x:f>ABS(G146)</x:f>
        <x:v>5932.235157508101</x:v>
      </x:c>
      <x:c r="J146" s="6" t="n">
        <x:f>ABS(H146)</x:f>
        <x:v>0.3092889690242368</x:v>
      </x:c>
      <x:c r="K146" s="5" t="n">
        <x:v>11701.41970781905</x:v>
      </x:c>
      <x:c r="L146" s="5" t="n">
        <x:f>K146-$D146</x:f>
        <x:v>-7478.815449689051</x:v>
      </x:c>
      <x:c r="M146" s="6" t="n">
        <x:f>L146/$D146</x:f>
        <x:v>-0.389923032135582</x:v>
      </x:c>
      <x:c r="N146" s="5" t="n">
        <x:f>ABS(L146)</x:f>
        <x:v>7478.815449689051</x:v>
      </x:c>
      <x:c r="O146" s="6" t="n">
        <x:f>ABS(M146)</x:f>
        <x:v>0.389923032135582</x:v>
      </x:c>
      <x:c r="P146" s="5" t="n">
        <x:v>15339.27996920333</x:v>
      </x:c>
      <x:c r="Q146" s="5" t="n">
        <x:f>P146-$D146</x:f>
        <x:v>-3840.9551883047716</x:v>
      </x:c>
      <x:c r="R146" s="6" t="n">
        <x:f>Q146/$D146</x:f>
        <x:v>-0.20025589659161347</x:v>
      </x:c>
      <x:c r="S146" s="5" t="n">
        <x:f>ABS(Q146)</x:f>
        <x:v>3840.9551883047716</x:v>
      </x:c>
      <x:c r="T146" s="6" t="n">
        <x:f>ABS(R146)</x:f>
        <x:v>0.20025589659161347</x:v>
      </x:c>
    </x:row>
    <x:row r="147">
      <x:c r="A147" s="4"/>
      <x:c r="B147" s="4" t="str">
        <x:v>Mocomoco</x:v>
      </x:c>
      <x:c r="C147" s="5" t="n">
        <x:v>15665</x:v>
      </x:c>
      <x:c r="D147" s="5" t="n">
        <x:v>17248.40049185931</x:v>
      </x:c>
      <x:c r="E147" s="5" t="n">
        <x:v>17811</x:v>
      </x:c>
      <x:c r="F147" s="5" t="n">
        <x:v>12766</x:v>
      </x:c>
      <x:c r="G147" s="5" t="n">
        <x:f>F147-$D147</x:f>
        <x:v>-4482.400491859309</x:v>
      </x:c>
      <x:c r="H147" s="6" t="n">
        <x:f>G147/$D147</x:f>
        <x:v>-0.25987340066546216</x:v>
      </x:c>
      <x:c r="I147" s="5" t="n">
        <x:f>ABS(G147)</x:f>
        <x:v>4482.400491859309</x:v>
      </x:c>
      <x:c r="J147" s="6" t="n">
        <x:f>ABS(H147)</x:f>
        <x:v>0.25987340066546216</x:v>
      </x:c>
      <x:c r="K147" s="5" t="n">
        <x:v>21124.44548581234</x:v>
      </x:c>
      <x:c r="L147" s="5" t="n">
        <x:f>K147-$D147</x:f>
        <x:v>3876.04499395303</x:v>
      </x:c>
      <x:c r="M147" s="6" t="n">
        <x:f>L147/$D147</x:f>
        <x:v>0.22471909762197362</x:v>
      </x:c>
      <x:c r="N147" s="5" t="n">
        <x:f>ABS(L147)</x:f>
        <x:v>3876.04499395303</x:v>
      </x:c>
      <x:c r="O147" s="6" t="n">
        <x:f>ABS(M147)</x:f>
        <x:v>0.22471909762197362</x:v>
      </x:c>
      <x:c r="P147" s="5" t="n">
        <x:v>20333.537293105397</x:v>
      </x:c>
      <x:c r="Q147" s="5" t="n">
        <x:f>P147-$D147</x:f>
        <x:v>3085.136801246088</x:v>
      </x:c>
      <x:c r="R147" s="6" t="n">
        <x:f>Q147/$D147</x:f>
        <x:v>0.17886509550274957</x:v>
      </x:c>
      <x:c r="S147" s="5" t="n">
        <x:f>ABS(Q147)</x:f>
        <x:v>3085.136801246088</x:v>
      </x:c>
      <x:c r="T147" s="6" t="n">
        <x:f>ABS(R147)</x:f>
        <x:v>0.17886509550274957</x:v>
      </x:c>
    </x:row>
    <x:row r="148">
      <x:c r="A148" s="4"/>
      <x:c r="B148" s="4" t="str">
        <x:v>Nazacara de Pacajes</x:v>
      </x:c>
      <x:c r="C148" s="5" t="n">
        <x:v>619</x:v>
      </x:c>
      <x:c r="D148" s="5" t="n">
        <x:v>2519.1510678714512</x:v>
      </x:c>
      <x:c r="E148" s="5" t="n">
        <x:v>4022</x:v>
      </x:c>
      <x:c r="F148" s="5" t="n">
        <x:v>635</x:v>
      </x:c>
      <x:c r="G148" s="5" t="n">
        <x:f>F148-$D148</x:f>
        <x:v>-1884.1510678714512</x:v>
      </x:c>
      <x:c r="H148" s="6" t="n">
        <x:f>G148/$D148</x:f>
        <x:v>-0.7479309565438085</x:v>
      </x:c>
      <x:c r="I148" s="5" t="n">
        <x:f>ABS(G148)</x:f>
        <x:v>1884.1510678714512</x:v>
      </x:c>
      <x:c r="J148" s="6" t="n">
        <x:f>ABS(H148)</x:f>
        <x:v>0.7479309565438085</x:v>
      </x:c>
      <x:c r="K148" s="5" t="n">
        <x:v>1270.900573132636</x:v>
      </x:c>
      <x:c r="L148" s="5" t="n">
        <x:f>K148-$D148</x:f>
        <x:v>-1248.2504947388152</x:v>
      </x:c>
      <x:c r="M148" s="6" t="n">
        <x:f>L148/$D148</x:f>
        <x:v>-0.4955044223661904</x:v>
      </x:c>
      <x:c r="N148" s="5" t="n">
        <x:f>ABS(L148)</x:f>
        <x:v>1248.2504947388152</x:v>
      </x:c>
      <x:c r="O148" s="6" t="n">
        <x:f>ABS(M148)</x:f>
        <x:v>0.4955044223661904</x:v>
      </x:c>
      <x:c r="P148" s="5" t="n">
        <x:v>726.1247674597544</x:v>
      </x:c>
      <x:c r="Q148" s="5" t="n">
        <x:f>P148-$D148</x:f>
        <x:v>-1793.0263004116969</x:v>
      </x:c>
      <x:c r="R148" s="6" t="n">
        <x:f>Q148/$D148</x:f>
        <x:v>-0.7117581487190082</x:v>
      </x:c>
      <x:c r="S148" s="5" t="n">
        <x:f>ABS(Q148)</x:f>
        <x:v>1793.0263004116969</x:v>
      </x:c>
      <x:c r="T148" s="6" t="n">
        <x:f>ABS(R148)</x:f>
        <x:v>0.7117581487190082</x:v>
      </x:c>
    </x:row>
    <x:row r="149">
      <x:c r="A149" s="4"/>
      <x:c r="B149" s="4" t="str">
        <x:v>Nuestra Señora de La Paz</x:v>
      </x:c>
      <x:c r="C149" s="5" t="n">
        <x:v>766468</x:v>
      </x:c>
      <x:c r="D149" s="5" t="n">
        <x:v>759680.211511371</x:v>
      </x:c>
      <x:c r="E149" s="5" t="n">
        <x:v>757431</x:v>
      </x:c>
      <x:c r="F149" s="5" t="n">
        <x:v>945889</x:v>
      </x:c>
      <x:c r="G149" s="5" t="n">
        <x:f>F149-$D149</x:f>
        <x:v>186208.78848862904</x:v>
      </x:c>
      <x:c r="H149" s="6" t="n">
        <x:f>G149/$D149</x:f>
        <x:v>0.24511470177453984</x:v>
      </x:c>
      <x:c r="I149" s="5" t="n">
        <x:f>ABS(G149)</x:f>
        <x:v>186208.78848862904</x:v>
      </x:c>
      <x:c r="J149" s="6" t="n">
        <x:f>ABS(H149)</x:f>
        <x:v>0.24511470177453984</x:v>
      </x:c>
      <x:c r="K149" s="5" t="n">
        <x:v>698897.5334339994</x:v>
      </x:c>
      <x:c r="L149" s="5" t="n">
        <x:f>K149-$D149</x:f>
        <x:v>-60782.67807737156</x:v>
      </x:c>
      <x:c r="M149" s="6" t="n">
        <x:f>L149/$D149</x:f>
        <x:v>-0.08001087451843118</x:v>
      </x:c>
      <x:c r="N149" s="5" t="n">
        <x:f>ABS(L149)</x:f>
        <x:v>60782.67807737156</x:v>
      </x:c>
      <x:c r="O149" s="6" t="n">
        <x:f>ABS(M149)</x:f>
        <x:v>0.08001087451843118</x:v>
      </x:c>
      <x:c r="P149" s="5" t="n">
        <x:v>673828.1933638334</x:v>
      </x:c>
      <x:c r="Q149" s="5" t="n">
        <x:f>P149-$D149</x:f>
        <x:v>-85852.0181475376</x:v>
      </x:c>
      <x:c r="R149" s="6" t="n">
        <x:f>Q149/$D149</x:f>
        <x:v>-0.11301073378854566</x:v>
      </x:c>
      <x:c r="S149" s="5" t="n">
        <x:f>ABS(Q149)</x:f>
        <x:v>85852.0181475376</x:v>
      </x:c>
      <x:c r="T149" s="6" t="n">
        <x:f>ABS(R149)</x:f>
        <x:v>0.11301073378854566</x:v>
      </x:c>
    </x:row>
    <x:row r="150">
      <x:c r="A150" s="4"/>
      <x:c r="B150" s="4" t="str">
        <x:v>Palca</x:v>
      </x:c>
      <x:c r="C150" s="5" t="n">
        <x:v>16622</x:v>
      </x:c>
      <x:c r="D150" s="5" t="n">
        <x:v>20321.259624702798</x:v>
      </x:c>
      <x:c r="E150" s="5" t="n">
        <x:v>21729</x:v>
      </x:c>
      <x:c r="F150" s="5" t="n">
        <x:v>15619</x:v>
      </x:c>
      <x:c r="G150" s="5" t="n">
        <x:f>F150-$D150</x:f>
        <x:v>-4702.259624702798</x:v>
      </x:c>
      <x:c r="H150" s="6" t="n">
        <x:f>G150/$D150</x:f>
        <x:v>-0.23139607049686367</x:v>
      </x:c>
      <x:c r="I150" s="5" t="n">
        <x:f>ABS(G150)</x:f>
        <x:v>4702.259624702798</x:v>
      </x:c>
      <x:c r="J150" s="6" t="n">
        <x:f>ABS(H150)</x:f>
        <x:v>0.23139607049686367</x:v>
      </x:c>
      <x:c r="K150" s="5" t="n">
        <x:v>12840.220278390272</x:v>
      </x:c>
      <x:c r="L150" s="5" t="n">
        <x:f>K150-$D150</x:f>
        <x:v>-7481.039346312526</x:v>
      </x:c>
      <x:c r="M150" s="6" t="n">
        <x:f>L150/$D150</x:f>
        <x:v>-0.36813856446273013</x:v>
      </x:c>
      <x:c r="N150" s="5" t="n">
        <x:f>ABS(L150)</x:f>
        <x:v>7481.039346312526</x:v>
      </x:c>
      <x:c r="O150" s="6" t="n">
        <x:f>ABS(M150)</x:f>
        <x:v>0.36813856446273013</x:v>
      </x:c>
      <x:c r="P150" s="5" t="n">
        <x:v>14604.164346391462</x:v>
      </x:c>
      <x:c r="Q150" s="5" t="n">
        <x:f>P150-$D150</x:f>
        <x:v>-5717.095278311335</x:v>
      </x:c>
      <x:c r="R150" s="6" t="n">
        <x:f>Q150/$D150</x:f>
        <x:v>-0.28133567425916634</x:v>
      </x:c>
      <x:c r="S150" s="5" t="n">
        <x:f>ABS(Q150)</x:f>
        <x:v>5717.095278311335</x:v>
      </x:c>
      <x:c r="T150" s="6" t="n">
        <x:f>ABS(R150)</x:f>
        <x:v>0.28133567425916634</x:v>
      </x:c>
    </x:row>
    <x:row r="151">
      <x:c r="A151" s="4"/>
      <x:c r="B151" s="4" t="str">
        <x:v>Palos Blancos</x:v>
      </x:c>
      <x:c r="C151" s="5" t="n">
        <x:v>24731</x:v>
      </x:c>
      <x:c r="D151" s="5" t="n">
        <x:v>26514.399482570112</x:v>
      </x:c>
      <x:c r="E151" s="5" t="n">
        <x:v>27137</x:v>
      </x:c>
      <x:c r="F151" s="5" t="n">
        <x:v>24017</x:v>
      </x:c>
      <x:c r="G151" s="5" t="n">
        <x:f>F151-$D151</x:f>
        <x:v>-2497.399482570112</x:v>
      </x:c>
      <x:c r="H151" s="6" t="n">
        <x:f>G151/$D151</x:f>
        <x:v>-0.09419030908890992</x:v>
      </x:c>
      <x:c r="I151" s="5" t="n">
        <x:f>ABS(G151)</x:f>
        <x:v>2497.399482570112</x:v>
      </x:c>
      <x:c r="J151" s="6" t="n">
        <x:f>ABS(H151)</x:f>
        <x:v>0.09419030908890992</x:v>
      </x:c>
      <x:c r="K151" s="5" t="n">
        <x:v>39136.84217960902</x:v>
      </x:c>
      <x:c r="L151" s="5" t="n">
        <x:f>K151-$D151</x:f>
        <x:v>12622.442697038907</x:v>
      </x:c>
      <x:c r="M151" s="6" t="n">
        <x:f>L151/$D151</x:f>
        <x:v>0.47605991247648577</x:v>
      </x:c>
      <x:c r="N151" s="5" t="n">
        <x:f>ABS(L151)</x:f>
        <x:v>12622.442697038907</x:v>
      </x:c>
      <x:c r="O151" s="6" t="n">
        <x:f>ABS(M151)</x:f>
        <x:v>0.47605991247648577</x:v>
      </x:c>
      <x:c r="P151" s="5" t="n">
        <x:v>30089.074751226115</x:v>
      </x:c>
      <x:c r="Q151" s="5" t="n">
        <x:f>P151-$D151</x:f>
        <x:v>3574.675268656003</x:v>
      </x:c>
      <x:c r="R151" s="6" t="n">
        <x:f>Q151/$D151</x:f>
        <x:v>0.1348201482370326</x:v>
      </x:c>
      <x:c r="S151" s="5" t="n">
        <x:f>ABS(Q151)</x:f>
        <x:v>3574.675268656003</x:v>
      </x:c>
      <x:c r="T151" s="6" t="n">
        <x:f>ABS(R151)</x:f>
        <x:v>0.1348201482370326</x:v>
      </x:c>
    </x:row>
    <x:row r="152">
      <x:c r="A152" s="4"/>
      <x:c r="B152" s="4" t="str">
        <x:v>Papel Pampa</x:v>
      </x:c>
      <x:c r="C152" s="5" t="n">
        <x:v>7003</x:v>
      </x:c>
      <x:c r="D152" s="5" t="n">
        <x:v>6735.786006024634</x:v>
      </x:c>
      <x:c r="E152" s="5" t="n">
        <x:v>6649</x:v>
      </x:c>
      <x:c r="F152" s="5" t="n">
        <x:v>6464</x:v>
      </x:c>
      <x:c r="G152" s="5" t="n">
        <x:f>F152-$D152</x:f>
        <x:v>-271.78600602463393</x:v>
      </x:c>
      <x:c r="H152" s="6" t="n">
        <x:f>G152/$D152</x:f>
        <x:v>-0.040349560657292644</x:v>
      </x:c>
      <x:c r="I152" s="5" t="n">
        <x:f>ABS(G152)</x:f>
        <x:v>271.78600602463393</x:v>
      </x:c>
      <x:c r="J152" s="6" t="n">
        <x:f>ABS(H152)</x:f>
        <x:v>0.040349560657292644</x:v>
      </x:c>
      <x:c r="K152" s="5" t="n">
        <x:v>8603.416011358553</x:v>
      </x:c>
      <x:c r="L152" s="5" t="n">
        <x:f>K152-$D152</x:f>
        <x:v>1867.6300053339191</x:v>
      </x:c>
      <x:c r="M152" s="6" t="n">
        <x:f>L152/$D152</x:f>
        <x:v>0.27726979504150967</x:v>
      </x:c>
      <x:c r="N152" s="5" t="n">
        <x:f>ABS(L152)</x:f>
        <x:v>1867.6300053339191</x:v>
      </x:c>
      <x:c r="O152" s="6" t="n">
        <x:f>ABS(M152)</x:f>
        <x:v>0.27726979504150967</x:v>
      </x:c>
      <x:c r="P152" s="5" t="n">
        <x:v>5023.198430781555</x:v>
      </x:c>
      <x:c r="Q152" s="5" t="n">
        <x:f>P152-$D152</x:f>
        <x:v>-1712.5875752430793</x:v>
      </x:c>
      <x:c r="R152" s="6" t="n">
        <x:f>Q152/$D152</x:f>
        <x:v>-0.2542520759583668</x:v>
      </x:c>
      <x:c r="S152" s="5" t="n">
        <x:f>ABS(Q152)</x:f>
        <x:v>1712.5875752430793</x:v>
      </x:c>
      <x:c r="T152" s="6" t="n">
        <x:f>ABS(R152)</x:f>
        <x:v>0.2542520759583668</x:v>
      </x:c>
    </x:row>
    <x:row r="153">
      <x:c r="A153" s="4"/>
      <x:c r="B153" s="4" t="str">
        <x:v>Patacamaya</x:v>
      </x:c>
      <x:c r="C153" s="5" t="n">
        <x:v>22858</x:v>
      </x:c>
      <x:c r="D153" s="5" t="n">
        <x:v>24554.84210616714</x:v>
      </x:c>
      <x:c r="E153" s="5" t="n">
        <x:v>25148</x:v>
      </x:c>
      <x:c r="F153" s="5" t="n">
        <x:v>22249</x:v>
      </x:c>
      <x:c r="G153" s="5" t="n">
        <x:f>F153-$D153</x:f>
        <x:v>-2305.8421061671397</x:v>
      </x:c>
      <x:c r="H153" s="6" t="n">
        <x:f>G153/$D153</x:f>
        <x:v>-0.09390580058293307</x:v>
      </x:c>
      <x:c r="I153" s="5" t="n">
        <x:f>ABS(G153)</x:f>
        <x:v>2305.8421061671397</x:v>
      </x:c>
      <x:c r="J153" s="6" t="n">
        <x:f>ABS(H153)</x:f>
        <x:v>0.09390580058293307</x:v>
      </x:c>
      <x:c r="K153" s="5" t="n">
        <x:v>23068.4086608656</x:v>
      </x:c>
      <x:c r="L153" s="5" t="n">
        <x:f>K153-$D153</x:f>
        <x:v>-1486.43344530154</x:v>
      </x:c>
      <x:c r="M153" s="6" t="n">
        <x:f>L153/$D153</x:f>
        <x:v>-0.06053524754403575</x:v>
      </x:c>
      <x:c r="N153" s="5" t="n">
        <x:f>ABS(L153)</x:f>
        <x:v>1486.43344530154</x:v>
      </x:c>
      <x:c r="O153" s="6" t="n">
        <x:f>ABS(M153)</x:f>
        <x:v>0.06053524754403575</x:v>
      </x:c>
      <x:c r="P153" s="5" t="n">
        <x:v>26241.073717599385</x:v>
      </x:c>
      <x:c r="Q153" s="5" t="n">
        <x:f>P153-$D153</x:f>
        <x:v>1686.2316114322457</x:v>
      </x:c>
      <x:c r="R153" s="6" t="n">
        <x:f>Q153/$D153</x:f>
        <x:v>0.06867206085632843</x:v>
      </x:c>
      <x:c r="S153" s="5" t="n">
        <x:f>ABS(Q153)</x:f>
        <x:v>1686.2316114322457</x:v>
      </x:c>
      <x:c r="T153" s="6" t="n">
        <x:f>ABS(R153)</x:f>
        <x:v>0.06867206085632843</x:v>
      </x:c>
    </x:row>
    <x:row r="154">
      <x:c r="A154" s="4"/>
      <x:c r="B154" s="4" t="str">
        <x:v>Pelechuco</x:v>
      </x:c>
      <x:c r="C154" s="5" t="n">
        <x:v>6780</x:v>
      </x:c>
      <x:c r="D154" s="5" t="n">
        <x:v>8426.623142360608</x:v>
      </x:c>
      <x:c r="E154" s="5" t="n">
        <x:v>9060</x:v>
      </x:c>
      <x:c r="F154" s="5" t="n">
        <x:v>7383</x:v>
      </x:c>
      <x:c r="G154" s="5" t="n">
        <x:f>F154-$D154</x:f>
        <x:v>-1043.6231423606077</x:v>
      </x:c>
      <x:c r="H154" s="6" t="n">
        <x:f>G154/$D154</x:f>
        <x:v>-0.12384832271830426</x:v>
      </x:c>
      <x:c r="I154" s="5" t="n">
        <x:f>ABS(G154)</x:f>
        <x:v>1043.6231423606077</x:v>
      </x:c>
      <x:c r="J154" s="6" t="n">
        <x:f>ABS(H154)</x:f>
        <x:v>0.12384832271830426</x:v>
      </x:c>
      <x:c r="K154" s="5" t="n">
        <x:v>10059.39320079184</x:v>
      </x:c>
      <x:c r="L154" s="5" t="n">
        <x:f>K154-$D154</x:f>
        <x:v>1632.7700584312315</x:v>
      </x:c>
      <x:c r="M154" s="6" t="n">
        <x:f>L154/$D154</x:f>
        <x:v>0.19376327039277474</x:v>
      </x:c>
      <x:c r="N154" s="5" t="n">
        <x:f>ABS(L154)</x:f>
        <x:v>1632.7700584312315</x:v>
      </x:c>
      <x:c r="O154" s="6" t="n">
        <x:f>ABS(M154)</x:f>
        <x:v>0.19376327039277474</x:v>
      </x:c>
      <x:c r="P154" s="5" t="n">
        <x:v>7723.695590026742</x:v>
      </x:c>
      <x:c r="Q154" s="5" t="n">
        <x:f>P154-$D154</x:f>
        <x:v>-702.9275523338656</x:v>
      </x:c>
      <x:c r="R154" s="6" t="n">
        <x:f>Q154/$D154</x:f>
        <x:v>-0.08341746633954128</x:v>
      </x:c>
      <x:c r="S154" s="5" t="n">
        <x:f>ABS(Q154)</x:f>
        <x:v>702.9275523338656</x:v>
      </x:c>
      <x:c r="T154" s="6" t="n">
        <x:f>ABS(R154)</x:f>
        <x:v>0.08341746633954128</x:v>
      </x:c>
    </x:row>
    <x:row r="155">
      <x:c r="A155" s="4"/>
      <x:c r="B155" s="4" t="str">
        <x:v>Pucarani</x:v>
      </x:c>
      <x:c r="C155" s="5" t="n">
        <x:v>30124</x:v>
      </x:c>
      <x:c r="D155" s="5" t="n">
        <x:v>43951.83702684626</x:v>
      </x:c>
      <x:c r="E155" s="5" t="n">
        <x:v>49850</x:v>
      </x:c>
      <x:c r="F155" s="5" t="n">
        <x:v>24807</x:v>
      </x:c>
      <x:c r="G155" s="5" t="n">
        <x:f>F155-$D155</x:f>
        <x:v>-19144.83702684626</x:v>
      </x:c>
      <x:c r="H155" s="6" t="n">
        <x:f>G155/$D155</x:f>
        <x:v>-0.4355867313384964</x:v>
      </x:c>
      <x:c r="I155" s="5" t="n">
        <x:f>ABS(G155)</x:f>
        <x:v>19144.83702684626</x:v>
      </x:c>
      <x:c r="J155" s="6" t="n">
        <x:f>ABS(H155)</x:f>
        <x:v>0.4355867313384964</x:v>
      </x:c>
      <x:c r="K155" s="5" t="n">
        <x:v>19024.6571254735</x:v>
      </x:c>
      <x:c r="L155" s="5" t="n">
        <x:f>K155-$D155</x:f>
        <x:v>-24927.17990137276</x:v>
      </x:c>
      <x:c r="M155" s="6" t="n">
        <x:f>L155/$D155</x:f>
        <x:v>-0.5671476231163437</x:v>
      </x:c>
      <x:c r="N155" s="5" t="n">
        <x:f>ABS(L155)</x:f>
        <x:v>24927.17990137276</x:v>
      </x:c>
      <x:c r="O155" s="6" t="n">
        <x:f>ABS(M155)</x:f>
        <x:v>0.5671476231163437</x:v>
      </x:c>
      <x:c r="P155" s="5" t="n">
        <x:v>37547.47773466887</x:v>
      </x:c>
      <x:c r="Q155" s="5" t="n">
        <x:f>P155-$D155</x:f>
        <x:v>-6404.359292177389</x:v>
      </x:c>
      <x:c r="R155" s="6" t="n">
        <x:f>Q155/$D155</x:f>
        <x:v>-0.1457131197557348</x:v>
      </x:c>
      <x:c r="S155" s="5" t="n">
        <x:f>ABS(Q155)</x:f>
        <x:v>6404.359292177389</x:v>
      </x:c>
      <x:c r="T155" s="6" t="n">
        <x:f>ABS(R155)</x:f>
        <x:v>0.1457131197557348</x:v>
      </x:c>
    </x:row>
    <x:row r="156">
      <x:c r="A156" s="4"/>
      <x:c r="B156" s="4" t="str">
        <x:v>Puerto Acosta</x:v>
      </x:c>
      <x:c r="C156" s="5" t="n">
        <x:v>11290</x:v>
      </x:c>
      <x:c r="D156" s="5" t="n">
        <x:v>13275.429538342589</x:v>
      </x:c>
      <x:c r="E156" s="5" t="n">
        <x:v>14012</x:v>
      </x:c>
      <x:c r="F156" s="5" t="n">
        <x:v>10415</x:v>
      </x:c>
      <x:c r="G156" s="5" t="n">
        <x:f>F156-$D156</x:f>
        <x:v>-2860.429538342589</x:v>
      </x:c>
      <x:c r="H156" s="6" t="n">
        <x:f>G156/$D156</x:f>
        <x:v>-0.21546794625974172</x:v>
      </x:c>
      <x:c r="I156" s="5" t="n">
        <x:f>ABS(G156)</x:f>
        <x:v>2860.429538342589</x:v>
      </x:c>
      <x:c r="J156" s="6" t="n">
        <x:f>ABS(H156)</x:f>
        <x:v>0.21546794625974172</x:v>
      </x:c>
      <x:c r="K156" s="5" t="n">
        <x:v>12185.426669446531</x:v>
      </x:c>
      <x:c r="L156" s="5" t="n">
        <x:f>K156-$D156</x:f>
        <x:v>-1090.0028688960574</x:v>
      </x:c>
      <x:c r="M156" s="6" t="n">
        <x:f>L156/$D156</x:f>
        <x:v>-0.08210678726047023</x:v>
      </x:c>
      <x:c r="N156" s="5" t="n">
        <x:f>ABS(L156)</x:f>
        <x:v>1090.0028688960574</x:v>
      </x:c>
      <x:c r="O156" s="6" t="n">
        <x:f>ABS(M156)</x:f>
        <x:v>0.08210678726047023</x:v>
      </x:c>
      <x:c r="P156" s="5" t="n">
        <x:v>13806.074976182135</x:v>
      </x:c>
      <x:c r="Q156" s="5" t="n">
        <x:f>P156-$D156</x:f>
        <x:v>530.6454378395465</x:v>
      </x:c>
      <x:c r="R156" s="6" t="n">
        <x:f>Q156/$D156</x:f>
        <x:v>0.039971997614609504</x:v>
      </x:c>
      <x:c r="S156" s="5" t="n">
        <x:f>ABS(Q156)</x:f>
        <x:v>530.6454378395465</x:v>
      </x:c>
      <x:c r="T156" s="6" t="n">
        <x:f>ABS(R156)</x:f>
        <x:v>0.039971997614609504</x:v>
      </x:c>
    </x:row>
    <x:row r="157">
      <x:c r="A157" s="4"/>
      <x:c r="B157" s="4" t="str">
        <x:v>Puerto Mayor de Carabuco</x:v>
      </x:c>
      <x:c r="C157" s="5" t="n">
        <x:v>14589</x:v>
      </x:c>
      <x:c r="D157" s="5" t="n">
        <x:v>16604.203782261906</x:v>
      </x:c>
      <x:c r="E157" s="5" t="n">
        <x:v>17336</x:v>
      </x:c>
      <x:c r="F157" s="5" t="n">
        <x:v>9806</x:v>
      </x:c>
      <x:c r="G157" s="5" t="n">
        <x:f>F157-$D157</x:f>
        <x:v>-6798.203782261906</x:v>
      </x:c>
      <x:c r="H157" s="6" t="n">
        <x:f>G157/$D157</x:f>
        <x:v>-0.40942666516321335</x:v>
      </x:c>
      <x:c r="I157" s="5" t="n">
        <x:f>ABS(G157)</x:f>
        <x:v>6798.203782261906</x:v>
      </x:c>
      <x:c r="J157" s="6" t="n">
        <x:f>ABS(H157)</x:f>
        <x:v>0.40942666516321335</x:v>
      </x:c>
      <x:c r="K157" s="5" t="n">
        <x:v>9788.643535275189</x:v>
      </x:c>
      <x:c r="L157" s="5" t="n">
        <x:f>K157-$D157</x:f>
        <x:v>-6815.560246986717</x:v>
      </x:c>
      <x:c r="M157" s="6" t="n">
        <x:f>L157/$D157</x:f>
        <x:v>-0.4104719706143156</x:v>
      </x:c>
      <x:c r="N157" s="5" t="n">
        <x:f>ABS(L157)</x:f>
        <x:v>6815.560246986717</x:v>
      </x:c>
      <x:c r="O157" s="6" t="n">
        <x:f>ABS(M157)</x:f>
        <x:v>0.4104719706143156</x:v>
      </x:c>
      <x:c r="P157" s="5" t="n">
        <x:v>15142.432503772588</x:v>
      </x:c>
      <x:c r="Q157" s="5" t="n">
        <x:f>P157-$D157</x:f>
        <x:v>-1461.7712784893174</x:v>
      </x:c>
      <x:c r="R157" s="6" t="n">
        <x:f>Q157/$D157</x:f>
        <x:v>-0.08803621647012741</x:v>
      </x:c>
      <x:c r="S157" s="5" t="n">
        <x:f>ABS(Q157)</x:f>
        <x:v>1461.7712784893174</x:v>
      </x:c>
      <x:c r="T157" s="6" t="n">
        <x:f>ABS(R157)</x:f>
        <x:v>0.08803621647012741</x:v>
      </x:c>
    </x:row>
    <x:row r="158">
      <x:c r="A158" s="4"/>
      <x:c r="B158" s="4" t="str">
        <x:v>Puerto Mayor de Guaqui</x:v>
      </x:c>
      <x:c r="C158" s="5" t="n">
        <x:v>7278</x:v>
      </x:c>
      <x:c r="D158" s="5" t="n">
        <x:v>8242.780102701683</x:v>
      </x:c>
      <x:c r="E158" s="5" t="n">
        <x:v>8592</x:v>
      </x:c>
      <x:c r="F158" s="5" t="n">
        <x:v>7672</x:v>
      </x:c>
      <x:c r="G158" s="5" t="n">
        <x:f>F158-$D158</x:f>
        <x:v>-570.7801027016831</x:v>
      </x:c>
      <x:c r="H158" s="6" t="n">
        <x:f>G158/$D158</x:f>
        <x:v>-0.06924606693251494</x:v>
      </x:c>
      <x:c r="I158" s="5" t="n">
        <x:f>ABS(G158)</x:f>
        <x:v>570.7801027016831</x:v>
      </x:c>
      <x:c r="J158" s="6" t="n">
        <x:f>ABS(H158)</x:f>
        <x:v>0.06924606693251494</x:v>
      </x:c>
      <x:c r="K158" s="5" t="n">
        <x:v>6423.380407259974</x:v>
      </x:c>
      <x:c r="L158" s="5" t="n">
        <x:f>K158-$D158</x:f>
        <x:v>-1819.399695441709</x:v>
      </x:c>
      <x:c r="M158" s="6" t="n">
        <x:f>L158/$D158</x:f>
        <x:v>-0.22072646276774702</x:v>
      </x:c>
      <x:c r="N158" s="5" t="n">
        <x:f>ABS(L158)</x:f>
        <x:v>1819.399695441709</x:v>
      </x:c>
      <x:c r="O158" s="6" t="n">
        <x:f>ABS(M158)</x:f>
        <x:v>0.22072646276774702</x:v>
      </x:c>
      <x:c r="P158" s="5" t="n">
        <x:v>8250.290825198486</x:v>
      </x:c>
      <x:c r="Q158" s="5" t="n">
        <x:f>P158-$D158</x:f>
        <x:v>7.510722496803282</x:v>
      </x:c>
      <x:c r="R158" s="6" t="n">
        <x:f>Q158/$D158</x:f>
        <x:v>0.0009111880219079897</x:v>
      </x:c>
      <x:c r="S158" s="5" t="n">
        <x:f>ABS(Q158)</x:f>
        <x:v>7.510722496803282</x:v>
      </x:c>
      <x:c r="T158" s="6" t="n">
        <x:f>ABS(R158)</x:f>
        <x:v>0.0009111880219079897</x:v>
      </x:c>
    </x:row>
    <x:row r="159">
      <x:c r="A159" s="4"/>
      <x:c r="B159" s="4" t="str">
        <x:v>Puerto Pérez</x:v>
      </x:c>
      <x:c r="C159" s="5" t="n">
        <x:v>6498</x:v>
      </x:c>
      <x:c r="D159" s="5" t="n">
        <x:v>7523.418924941262</x:v>
      </x:c>
      <x:c r="E159" s="5" t="n">
        <x:v>7900</x:v>
      </x:c>
      <x:c r="F159" s="5" t="n">
        <x:v>7661</x:v>
      </x:c>
      <x:c r="G159" s="5" t="n">
        <x:f>F159-$D159</x:f>
        <x:v>137.58107505873795</x:v>
      </x:c>
      <x:c r="H159" s="6" t="n">
        <x:f>G159/$D159</x:f>
        <x:v>0.018287041627129928</x:v>
      </x:c>
      <x:c r="I159" s="5" t="n">
        <x:f>ABS(G159)</x:f>
        <x:v>137.58107505873795</x:v>
      </x:c>
      <x:c r="J159" s="6" t="n">
        <x:f>ABS(H159)</x:f>
        <x:v>0.018287041627129928</x:v>
      </x:c>
      <x:c r="K159" s="5" t="n">
        <x:v>3967.896110735597</x:v>
      </x:c>
      <x:c r="L159" s="5" t="n">
        <x:f>K159-$D159</x:f>
        <x:v>-3555.522814205665</x:v>
      </x:c>
      <x:c r="M159" s="6" t="n">
        <x:f>L159/$D159</x:f>
        <x:v>-0.4725940227013776</x:v>
      </x:c>
      <x:c r="N159" s="5" t="n">
        <x:f>ABS(L159)</x:f>
        <x:v>3555.522814205665</x:v>
      </x:c>
      <x:c r="O159" s="6" t="n">
        <x:f>ABS(M159)</x:f>
        <x:v>0.4725940227013776</x:v>
      </x:c>
      <x:c r="P159" s="5" t="n">
        <x:v>5006.624335783625</x:v>
      </x:c>
      <x:c r="Q159" s="5" t="n">
        <x:f>P159-$D159</x:f>
        <x:v>-2516.7945891576373</x:v>
      </x:c>
      <x:c r="R159" s="6" t="n">
        <x:f>Q159/$D159</x:f>
        <x:v>-0.33452804027887983</x:v>
      </x:c>
      <x:c r="S159" s="5" t="n">
        <x:f>ABS(Q159)</x:f>
        <x:v>2516.7945891576373</x:v>
      </x:c>
      <x:c r="T159" s="6" t="n">
        <x:f>ABS(R159)</x:f>
        <x:v>0.33452804027887983</x:v>
      </x:c>
    </x:row>
    <x:row r="160">
      <x:c r="A160" s="4"/>
      <x:c r="B160" s="4" t="str">
        <x:v>Quiabaya</x:v>
      </x:c>
      <x:c r="C160" s="5" t="n">
        <x:v>2684</x:v>
      </x:c>
      <x:c r="D160" s="5" t="n">
        <x:v>3771.2781075673715</x:v>
      </x:c>
      <x:c r="E160" s="5" t="n">
        <x:v>4224</x:v>
      </x:c>
      <x:c r="F160" s="5" t="n">
        <x:v>2491</x:v>
      </x:c>
      <x:c r="G160" s="5" t="n">
        <x:f>F160-$D160</x:f>
        <x:v>-1280.2781075673715</x:v>
      </x:c>
      <x:c r="H160" s="6" t="n">
        <x:f>G160/$D160</x:f>
        <x:v>-0.33948122388491875</x:v>
      </x:c>
      <x:c r="I160" s="5" t="n">
        <x:f>ABS(G160)</x:f>
        <x:v>1280.2781075673715</x:v>
      </x:c>
      <x:c r="J160" s="6" t="n">
        <x:f>ABS(H160)</x:f>
        <x:v>0.33948122388491875</x:v>
      </x:c>
      <x:c r="K160" s="5" t="n">
        <x:v>2577.838867813973</x:v>
      </x:c>
      <x:c r="L160" s="5" t="n">
        <x:f>K160-$D160</x:f>
        <x:v>-1193.4392397533984</x:v>
      </x:c>
      <x:c r="M160" s="6" t="n">
        <x:f>L160/$D160</x:f>
        <x:v>-0.31645484785613315</x:v>
      </x:c>
      <x:c r="N160" s="5" t="n">
        <x:f>ABS(L160)</x:f>
        <x:v>1193.4392397533984</x:v>
      </x:c>
      <x:c r="O160" s="6" t="n">
        <x:f>ABS(M160)</x:f>
        <x:v>0.31645484785613315</x:v>
      </x:c>
      <x:c r="P160" s="5" t="n">
        <x:v>3015.5466176323607</x:v>
      </x:c>
      <x:c r="Q160" s="5" t="n">
        <x:f>P160-$D160</x:f>
        <x:v>-755.7314899350108</x:v>
      </x:c>
      <x:c r="R160" s="6" t="n">
        <x:f>Q160/$D160</x:f>
        <x:v>-0.20039134436110004</x:v>
      </x:c>
      <x:c r="S160" s="5" t="n">
        <x:f>ABS(Q160)</x:f>
        <x:v>755.7314899350108</x:v>
      </x:c>
      <x:c r="T160" s="6" t="n">
        <x:f>ABS(R160)</x:f>
        <x:v>0.20039134436110004</x:v>
      </x:c>
    </x:row>
    <x:row r="161">
      <x:c r="A161" s="4"/>
      <x:c r="B161" s="4" t="str">
        <x:v>Quime</x:v>
      </x:c>
      <x:c r="C161" s="5" t="n">
        <x:v>8266</x:v>
      </x:c>
      <x:c r="D161" s="5" t="n">
        <x:v>10162.604337121682</x:v>
      </x:c>
      <x:c r="E161" s="5" t="n">
        <x:v>10887</x:v>
      </x:c>
      <x:c r="F161" s="5" t="n">
        <x:v>8467</x:v>
      </x:c>
      <x:c r="G161" s="5" t="n">
        <x:f>F161-$D161</x:f>
        <x:v>-1695.604337121682</x:v>
      </x:c>
      <x:c r="H161" s="6" t="n">
        <x:f>G161/$D161</x:f>
        <x:v>-0.1668474222624239</x:v>
      </x:c>
      <x:c r="I161" s="5" t="n">
        <x:f>ABS(G161)</x:f>
        <x:v>1695.604337121682</x:v>
      </x:c>
      <x:c r="J161" s="6" t="n">
        <x:f>ABS(H161)</x:f>
        <x:v>0.1668474222624239</x:v>
      </x:c>
      <x:c r="K161" s="5" t="n">
        <x:v>13708.1639442858</x:v>
      </x:c>
      <x:c r="L161" s="5" t="n">
        <x:f>K161-$D161</x:f>
        <x:v>3545.5596071641176</x:v>
      </x:c>
      <x:c r="M161" s="6" t="n">
        <x:f>L161/$D161</x:f>
        <x:v>0.348882972272471</x:v>
      </x:c>
      <x:c r="N161" s="5" t="n">
        <x:f>ABS(L161)</x:f>
        <x:v>3545.5596071641176</x:v>
      </x:c>
      <x:c r="O161" s="6" t="n">
        <x:f>ABS(M161)</x:f>
        <x:v>0.348882972272471</x:v>
      </x:c>
      <x:c r="P161" s="5" t="n">
        <x:v>9765.055919559847</x:v>
      </x:c>
      <x:c r="Q161" s="5" t="n">
        <x:f>P161-$D161</x:f>
        <x:v>-397.54841756183487</x:v>
      </x:c>
      <x:c r="R161" s="6" t="n">
        <x:f>Q161/$D161</x:f>
        <x:v>-0.03911875385226609</x:v>
      </x:c>
      <x:c r="S161" s="5" t="n">
        <x:f>ABS(Q161)</x:f>
        <x:v>397.54841756183487</x:v>
      </x:c>
      <x:c r="T161" s="6" t="n">
        <x:f>ABS(R161)</x:f>
        <x:v>0.03911875385226609</x:v>
      </x:c>
    </x:row>
    <x:row r="162">
      <x:c r="A162" s="4"/>
      <x:c r="B162" s="4" t="str">
        <x:v>San Buenaventura</x:v>
      </x:c>
      <x:c r="C162" s="5" t="n">
        <x:v>8711</x:v>
      </x:c>
      <x:c r="D162" s="5" t="n">
        <x:v>9736.867089438036</x:v>
      </x:c>
      <x:c r="E162" s="5" t="n">
        <x:v>10105</x:v>
      </x:c>
      <x:c r="F162" s="5" t="n">
        <x:v>9683</x:v>
      </x:c>
      <x:c r="G162" s="5" t="n">
        <x:f>F162-$D162</x:f>
        <x:v>-53.86708943803569</x:v>
      </x:c>
      <x:c r="H162" s="6" t="n">
        <x:f>G162/$D162</x:f>
        <x:v>-0.005532281476499505</x:v>
      </x:c>
      <x:c r="I162" s="5" t="n">
        <x:f>ABS(G162)</x:f>
        <x:v>53.86708943803569</x:v>
      </x:c>
      <x:c r="J162" s="6" t="n">
        <x:f>ABS(H162)</x:f>
        <x:v>0.005532281476499505</x:v>
      </x:c>
      <x:c r="K162" s="5" t="n">
        <x:v>5096.200567469594</x:v>
      </x:c>
      <x:c r="L162" s="5" t="n">
        <x:f>K162-$D162</x:f>
        <x:v>-4640.666521968442</x:v>
      </x:c>
      <x:c r="M162" s="6" t="n">
        <x:f>L162/$D162</x:f>
        <x:v>-0.4766077712000769</x:v>
      </x:c>
      <x:c r="N162" s="5" t="n">
        <x:f>ABS(L162)</x:f>
        <x:v>4640.666521968442</x:v>
      </x:c>
      <x:c r="O162" s="6" t="n">
        <x:f>ABS(M162)</x:f>
        <x:v>0.4766077712000769</x:v>
      </x:c>
      <x:c r="P162" s="5" t="n">
        <x:v>10118.386638997414</x:v>
      </x:c>
      <x:c r="Q162" s="5" t="n">
        <x:f>P162-$D162</x:f>
        <x:v>381.519549559378</x:v>
      </x:c>
      <x:c r="R162" s="6" t="n">
        <x:f>Q162/$D162</x:f>
        <x:v>0.039182988332379244</x:v>
      </x:c>
      <x:c r="S162" s="5" t="n">
        <x:f>ABS(Q162)</x:f>
        <x:v>381.519549559378</x:v>
      </x:c>
      <x:c r="T162" s="6" t="n">
        <x:f>ABS(R162)</x:f>
        <x:v>0.039182988332379244</x:v>
      </x:c>
    </x:row>
    <x:row r="163">
      <x:c r="A163" s="4"/>
      <x:c r="B163" s="4" t="str">
        <x:v>San Pedro de Curahuara</x:v>
      </x:c>
      <x:c r="C163" s="5" t="n">
        <x:v>8858</x:v>
      </x:c>
      <x:c r="D163" s="5" t="n">
        <x:v>9125.908490668191</x:v>
      </x:c>
      <x:c r="E163" s="5" t="n">
        <x:v>9217</x:v>
      </x:c>
      <x:c r="F163" s="5" t="n">
        <x:v>7300</x:v>
      </x:c>
      <x:c r="G163" s="5" t="n">
        <x:f>F163-$D163</x:f>
        <x:v>-1825.908490668191</x:v>
      </x:c>
      <x:c r="H163" s="6" t="n">
        <x:f>G163/$D163</x:f>
        <x:v>-0.2000796405678729</x:v>
      </x:c>
      <x:c r="I163" s="5" t="n">
        <x:f>ABS(G163)</x:f>
        <x:v>1825.908490668191</x:v>
      </x:c>
      <x:c r="J163" s="6" t="n">
        <x:f>ABS(H163)</x:f>
        <x:v>0.2000796405678729</x:v>
      </x:c>
      <x:c r="K163" s="5" t="n">
        <x:v>10473.880104943017</x:v>
      </x:c>
      <x:c r="L163" s="5" t="n">
        <x:f>K163-$D163</x:f>
        <x:v>1347.9716142748257</x:v>
      </x:c>
      <x:c r="M163" s="6" t="n">
        <x:f>L163/$D163</x:f>
        <x:v>0.147708210711647</x:v>
      </x:c>
      <x:c r="N163" s="5" t="n">
        <x:f>ABS(L163)</x:f>
        <x:v>1347.9716142748257</x:v>
      </x:c>
      <x:c r="O163" s="6" t="n">
        <x:f>ABS(M163)</x:f>
        <x:v>0.147708210711647</x:v>
      </x:c>
      <x:c r="P163" s="5" t="n">
        <x:v>7199.670420882161</x:v>
      </x:c>
      <x:c r="Q163" s="5" t="n">
        <x:f>P163-$D163</x:f>
        <x:v>-1926.2380697860299</x:v>
      </x:c>
      <x:c r="R163" s="6" t="n">
        <x:f>Q163/$D163</x:f>
        <x:v>-0.21107356837466956</x:v>
      </x:c>
      <x:c r="S163" s="5" t="n">
        <x:f>ABS(Q163)</x:f>
        <x:v>1926.2380697860299</x:v>
      </x:c>
      <x:c r="T163" s="6" t="n">
        <x:f>ABS(R163)</x:f>
        <x:v>0.21107356837466956</x:v>
      </x:c>
    </x:row>
    <x:row r="164">
      <x:c r="A164" s="4"/>
      <x:c r="B164" s="4" t="str">
        <x:v>San Pedro de Tiquina</x:v>
      </x:c>
      <x:c r="C164" s="5" t="n">
        <x:v>6052</x:v>
      </x:c>
      <x:c r="D164" s="5" t="n">
        <x:v>8261.112572130207</x:v>
      </x:c>
      <x:c r="E164" s="5" t="n">
        <x:v>9164</x:v>
      </x:c>
      <x:c r="F164" s="5" t="n">
        <x:v>6088</x:v>
      </x:c>
      <x:c r="G164" s="5" t="n">
        <x:f>F164-$D164</x:f>
        <x:v>-2173.112572130207</x:v>
      </x:c>
      <x:c r="H164" s="6" t="n">
        <x:f>G164/$D164</x:f>
        <x:v>-0.2630532574342888</x:v>
      </x:c>
      <x:c r="I164" s="5" t="n">
        <x:f>ABS(G164)</x:f>
        <x:v>2173.112572130207</x:v>
      </x:c>
      <x:c r="J164" s="6" t="n">
        <x:f>ABS(H164)</x:f>
        <x:v>0.2630532574342888</x:v>
      </x:c>
      <x:c r="K164" s="5" t="n">
        <x:v>4520.005577884112</x:v>
      </x:c>
      <x:c r="L164" s="5" t="n">
        <x:f>K164-$D164</x:f>
        <x:v>-3741.1069942460945</x:v>
      </x:c>
      <x:c r="M164" s="6" t="n">
        <x:f>L164/$D164</x:f>
        <x:v>-0.45285752513131705</x:v>
      </x:c>
      <x:c r="N164" s="5" t="n">
        <x:f>ABS(L164)</x:f>
        <x:v>3741.1069942460945</x:v>
      </x:c>
      <x:c r="O164" s="6" t="n">
        <x:f>ABS(M164)</x:f>
        <x:v>0.45285752513131705</x:v>
      </x:c>
      <x:c r="P164" s="5" t="n">
        <x:v>6876.208568026297</x:v>
      </x:c>
      <x:c r="Q164" s="5" t="n">
        <x:f>P164-$D164</x:f>
        <x:v>-1384.9040041039098</x:v>
      </x:c>
      <x:c r="R164" s="6" t="n">
        <x:f>Q164/$D164</x:f>
        <x:v>-0.1676413427382698</x:v>
      </x:c>
      <x:c r="S164" s="5" t="n">
        <x:f>ABS(Q164)</x:f>
        <x:v>1384.9040041039098</x:v>
      </x:c>
      <x:c r="T164" s="6" t="n">
        <x:f>ABS(R164)</x:f>
        <x:v>0.1676413427382698</x:v>
      </x:c>
    </x:row>
    <x:row r="165">
      <x:c r="A165" s="4"/>
      <x:c r="B165" s="4" t="str">
        <x:v>Santiago de Callapa</x:v>
      </x:c>
      <x:c r="C165" s="5" t="n">
        <x:v>7289</x:v>
      </x:c>
      <x:c r="D165" s="5" t="n">
        <x:v>7843.094789442795</x:v>
      </x:c>
      <x:c r="E165" s="5" t="n">
        <x:v>8037</x:v>
      </x:c>
      <x:c r="F165" s="5" t="n">
        <x:v>6618</x:v>
      </x:c>
      <x:c r="G165" s="5" t="n">
        <x:f>F165-$D165</x:f>
        <x:v>-1225.0947894427954</x:v>
      </x:c>
      <x:c r="H165" s="6" t="n">
        <x:f>G165/$D165</x:f>
        <x:v>-0.15620043137714404</x:v>
      </x:c>
      <x:c r="I165" s="5" t="n">
        <x:f>ABS(G165)</x:f>
        <x:v>1225.0947894427954</x:v>
      </x:c>
      <x:c r="J165" s="6" t="n">
        <x:f>ABS(H165)</x:f>
        <x:v>0.15620043137714404</x:v>
      </x:c>
      <x:c r="K165" s="5" t="n">
        <x:v>6055.321843615669</x:v>
      </x:c>
      <x:c r="L165" s="5" t="n">
        <x:f>K165-$D165</x:f>
        <x:v>-1787.772945827126</x:v>
      </x:c>
      <x:c r="M165" s="6" t="n">
        <x:f>L165/$D165</x:f>
        <x:v>-0.2279422847513662</x:v>
      </x:c>
      <x:c r="N165" s="5" t="n">
        <x:f>ABS(L165)</x:f>
        <x:v>1787.772945827126</x:v>
      </x:c>
      <x:c r="O165" s="6" t="n">
        <x:f>ABS(M165)</x:f>
        <x:v>0.2279422847513662</x:v>
      </x:c>
      <x:c r="P165" s="5" t="n">
        <x:v>5598.424839181695</x:v>
      </x:c>
      <x:c r="Q165" s="5" t="n">
        <x:f>P165-$D165</x:f>
        <x:v>-2244.669950261101</x:v>
      </x:c>
      <x:c r="R165" s="6" t="n">
        <x:f>Q165/$D165</x:f>
        <x:v>-0.28619696822771296</x:v>
      </x:c>
      <x:c r="S165" s="5" t="n">
        <x:f>ABS(Q165)</x:f>
        <x:v>2244.669950261101</x:v>
      </x:c>
      <x:c r="T165" s="6" t="n">
        <x:f>ABS(R165)</x:f>
        <x:v>0.28619696822771296</x:v>
      </x:c>
    </x:row>
    <x:row r="166">
      <x:c r="A166" s="4"/>
      <x:c r="B166" s="4" t="str">
        <x:v>Santiago de Huata</x:v>
      </x:c>
      <x:c r="C166" s="5" t="n">
        <x:v>8562</x:v>
      </x:c>
      <x:c r="D166" s="5" t="n">
        <x:v>9100.188535782954</x:v>
      </x:c>
      <x:c r="E166" s="5" t="n">
        <x:v>9287</x:v>
      </x:c>
      <x:c r="F166" s="5" t="n">
        <x:v>7954</x:v>
      </x:c>
      <x:c r="G166" s="5" t="n">
        <x:f>F166-$D166</x:f>
        <x:v>-1146.1885357829542</x:v>
      </x:c>
      <x:c r="H166" s="6" t="n">
        <x:f>G166/$D166</x:f>
        <x:v>-0.12595217464737277</x:v>
      </x:c>
      <x:c r="I166" s="5" t="n">
        <x:f>ABS(G166)</x:f>
        <x:v>1146.1885357829542</x:v>
      </x:c>
      <x:c r="J166" s="6" t="n">
        <x:f>ABS(H166)</x:f>
        <x:v>0.12595217464737277</x:v>
      </x:c>
      <x:c r="K166" s="5" t="n">
        <x:v>5780.791137645573</x:v>
      </x:c>
      <x:c r="L166" s="5" t="n">
        <x:f>K166-$D166</x:f>
        <x:v>-3319.397398137381</x:v>
      </x:c>
      <x:c r="M166" s="6" t="n">
        <x:f>L166/$D166</x:f>
        <x:v>-0.36476138764434834</x:v>
      </x:c>
      <x:c r="N166" s="5" t="n">
        <x:f>ABS(L166)</x:f>
        <x:v>3319.397398137381</x:v>
      </x:c>
      <x:c r="O166" s="6" t="n">
        <x:f>ABS(M166)</x:f>
        <x:v>0.36476138764434834</x:v>
      </x:c>
      <x:c r="P166" s="5" t="n">
        <x:v>8807.165314932307</x:v>
      </x:c>
      <x:c r="Q166" s="5" t="n">
        <x:f>P166-$D166</x:f>
        <x:v>-293.0232208506477</x:v>
      </x:c>
      <x:c r="R166" s="6" t="n">
        <x:f>Q166/$D166</x:f>
        <x:v>-0.032199686819503553</x:v>
      </x:c>
      <x:c r="S166" s="5" t="n">
        <x:f>ABS(Q166)</x:f>
        <x:v>293.0232208506477</x:v>
      </x:c>
      <x:c r="T166" s="6" t="n">
        <x:f>ABS(R166)</x:f>
        <x:v>0.032199686819503553</x:v>
      </x:c>
    </x:row>
    <x:row r="167">
      <x:c r="A167" s="4"/>
      <x:c r="B167" s="4" t="str">
        <x:v>Santiago de Machaca</x:v>
      </x:c>
      <x:c r="C167" s="5" t="n">
        <x:v>4593</x:v>
      </x:c>
      <x:c r="D167" s="5" t="n">
        <x:v>6168.011979207992</x:v>
      </x:c>
      <x:c r="E167" s="5" t="n">
        <x:v>6805</x:v>
      </x:c>
      <x:c r="F167" s="5" t="n">
        <x:v>4942</x:v>
      </x:c>
      <x:c r="G167" s="5" t="n">
        <x:f>F167-$D167</x:f>
        <x:v>-1226.0119792079922</x:v>
      </x:c>
      <x:c r="H167" s="6" t="n">
        <x:f>G167/$D167</x:f>
        <x:v>-0.19876939009535113</x:v>
      </x:c>
      <x:c r="I167" s="5" t="n">
        <x:f>ABS(G167)</x:f>
        <x:v>1226.0119792079922</x:v>
      </x:c>
      <x:c r="J167" s="6" t="n">
        <x:f>ABS(H167)</x:f>
        <x:v>0.19876939009535113</x:v>
      </x:c>
      <x:c r="K167" s="5" t="n">
        <x:v>5718.936393103377</x:v>
      </x:c>
      <x:c r="L167" s="5" t="n">
        <x:f>K167-$D167</x:f>
        <x:v>-449.07558610461547</x:v>
      </x:c>
      <x:c r="M167" s="6" t="n">
        <x:f>L167/$D167</x:f>
        <x:v>-0.07280718448965777</x:v>
      </x:c>
      <x:c r="N167" s="5" t="n">
        <x:f>ABS(L167)</x:f>
        <x:v>449.07558610461547</x:v>
      </x:c>
      <x:c r="O167" s="6" t="n">
        <x:f>ABS(M167)</x:f>
        <x:v>0.07280718448965777</x:v>
      </x:c>
      <x:c r="P167" s="5" t="n">
        <x:v>5296.389738457445</x:v>
      </x:c>
      <x:c r="Q167" s="5" t="n">
        <x:f>P167-$D167</x:f>
        <x:v>-871.6222407505475</x:v>
      </x:c>
      <x:c r="R167" s="6" t="n">
        <x:f>Q167/$D167</x:f>
        <x:v>-0.1413133184061145</x:v>
      </x:c>
      <x:c r="S167" s="5" t="n">
        <x:f>ABS(Q167)</x:f>
        <x:v>871.6222407505475</x:v>
      </x:c>
      <x:c r="T167" s="6" t="n">
        <x:f>ABS(R167)</x:f>
        <x:v>0.1413133184061145</x:v>
      </x:c>
    </x:row>
    <x:row r="168">
      <x:c r="A168" s="4"/>
      <x:c r="B168" s="4" t="str">
        <x:v>Sapahaqui</x:v>
      </x:c>
      <x:c r="C168" s="5" t="n">
        <x:v>12484</x:v>
      </x:c>
      <x:c r="D168" s="5" t="n">
        <x:v>15386.582535922846</x:v>
      </x:c>
      <x:c r="E168" s="5" t="n">
        <x:v>16497</x:v>
      </x:c>
      <x:c r="F168" s="5" t="n">
        <x:v>10267</x:v>
      </x:c>
      <x:c r="G168" s="5" t="n">
        <x:f>F168-$D168</x:f>
        <x:v>-5119.582535922846</x:v>
      </x:c>
      <x:c r="H168" s="6" t="n">
        <x:f>G168/$D168</x:f>
        <x:v>-0.3327303203274818</x:v>
      </x:c>
      <x:c r="I168" s="5" t="n">
        <x:f>ABS(G168)</x:f>
        <x:v>5119.582535922846</x:v>
      </x:c>
      <x:c r="J168" s="6" t="n">
        <x:f>ABS(H168)</x:f>
        <x:v>0.3327303203274818</x:v>
      </x:c>
      <x:c r="K168" s="5" t="n">
        <x:v>11100.428714854346</x:v>
      </x:c>
      <x:c r="L168" s="5" t="n">
        <x:f>K168-$D168</x:f>
        <x:v>-4286.153821068499</x:v>
      </x:c>
      <x:c r="M168" s="6" t="n">
        <x:f>L168/$D168</x:f>
        <x:v>-0.27856437978099907</x:v>
      </x:c>
      <x:c r="N168" s="5" t="n">
        <x:f>ABS(L168)</x:f>
        <x:v>4286.153821068499</x:v>
      </x:c>
      <x:c r="O168" s="6" t="n">
        <x:f>ABS(M168)</x:f>
        <x:v>0.27856437978099907</x:v>
      </x:c>
      <x:c r="P168" s="5" t="n">
        <x:v>14251.88777821726</x:v>
      </x:c>
      <x:c r="Q168" s="5" t="n">
        <x:f>P168-$D168</x:f>
        <x:v>-1134.6947577055853</x:v>
      </x:c>
      <x:c r="R168" s="6" t="n">
        <x:f>Q168/$D168</x:f>
        <x:v>-0.07374572976529575</x:v>
      </x:c>
      <x:c r="S168" s="5" t="n">
        <x:f>ABS(Q168)</x:f>
        <x:v>1134.6947577055853</x:v>
      </x:c>
      <x:c r="T168" s="6" t="n">
        <x:f>ABS(R168)</x:f>
        <x:v>0.07374572976529575</x:v>
      </x:c>
    </x:row>
    <x:row r="169">
      <x:c r="A169" s="4"/>
      <x:c r="B169" s="4" t="str">
        <x:v>Sicasica</x:v>
      </x:c>
      <x:c r="C169" s="5" t="n">
        <x:v>31312</x:v>
      </x:c>
      <x:c r="D169" s="5" t="n">
        <x:v>33222.57722183624</x:v>
      </x:c>
      <x:c r="E169" s="5" t="n">
        <x:v>33885</x:v>
      </x:c>
      <x:c r="F169" s="5" t="n">
        <x:v>20857</x:v>
      </x:c>
      <x:c r="G169" s="5" t="n">
        <x:f>F169-$D169</x:f>
        <x:v>-12365.57722183624</x:v>
      </x:c>
      <x:c r="H169" s="6" t="n">
        <x:f>G169/$D169</x:f>
        <x:v>-0.3722040327957671</x:v>
      </x:c>
      <x:c r="I169" s="5" t="n">
        <x:f>ABS(G169)</x:f>
        <x:v>12365.57722183624</x:v>
      </x:c>
      <x:c r="J169" s="6" t="n">
        <x:f>ABS(H169)</x:f>
        <x:v>0.3722040327957671</x:v>
      </x:c>
      <x:c r="K169" s="5" t="n">
        <x:v>32634.526496675287</x:v>
      </x:c>
      <x:c r="L169" s="5" t="n">
        <x:f>K169-$D169</x:f>
        <x:v>-588.0507251609524</x:v>
      </x:c>
      <x:c r="M169" s="6" t="n">
        <x:f>L169/$D169</x:f>
        <x:v>-0.017700334361009287</x:v>
      </x:c>
      <x:c r="N169" s="5" t="n">
        <x:f>ABS(L169)</x:f>
        <x:v>588.0507251609524</x:v>
      </x:c>
      <x:c r="O169" s="6" t="n">
        <x:f>ABS(M169)</x:f>
        <x:v>0.017700334361009287</x:v>
      </x:c>
      <x:c r="P169" s="5" t="n">
        <x:v>23906.291498287213</x:v>
      </x:c>
      <x:c r="Q169" s="5" t="n">
        <x:f>P169-$D169</x:f>
        <x:v>-9316.285723549026</x:v>
      </x:c>
      <x:c r="R169" s="6" t="n">
        <x:f>Q169/$D169</x:f>
        <x:v>-0.28042031963208747</x:v>
      </x:c>
      <x:c r="S169" s="5" t="n">
        <x:f>ABS(Q169)</x:f>
        <x:v>9316.285723549026</x:v>
      </x:c>
      <x:c r="T169" s="6" t="n">
        <x:f>ABS(R169)</x:f>
        <x:v>0.28042031963208747</x:v>
      </x:c>
    </x:row>
    <x:row r="170">
      <x:c r="A170" s="4"/>
      <x:c r="B170" s="4" t="str">
        <x:v>Sorata</x:v>
      </x:c>
      <x:c r="C170" s="5" t="n">
        <x:v>23512</x:v>
      </x:c>
      <x:c r="D170" s="5" t="n">
        <x:v>28285.460330731814</x:v>
      </x:c>
      <x:c r="E170" s="5" t="n">
        <x:v>30083</x:v>
      </x:c>
      <x:c r="F170" s="5" t="n">
        <x:v>18208</x:v>
      </x:c>
      <x:c r="G170" s="5" t="n">
        <x:f>F170-$D170</x:f>
        <x:v>-10077.460330731814</x:v>
      </x:c>
      <x:c r="H170" s="6" t="n">
        <x:f>G170/$D170</x:f>
        <x:v>-0.3562770488052752</x:v>
      </x:c>
      <x:c r="I170" s="5" t="n">
        <x:f>ABS(G170)</x:f>
        <x:v>10077.460330731814</x:v>
      </x:c>
      <x:c r="J170" s="6" t="n">
        <x:f>ABS(H170)</x:f>
        <x:v>0.3562770488052752</x:v>
      </x:c>
      <x:c r="K170" s="5" t="n">
        <x:v>30169.060552569405</x:v>
      </x:c>
      <x:c r="L170" s="5" t="n">
        <x:f>K170-$D170</x:f>
        <x:v>1883.6002218375907</x:v>
      </x:c>
      <x:c r="M170" s="6" t="n">
        <x:f>L170/$D170</x:f>
        <x:v>0.06659252491609909</x:v>
      </x:c>
      <x:c r="N170" s="5" t="n">
        <x:f>ABS(L170)</x:f>
        <x:v>1883.6002218375907</x:v>
      </x:c>
      <x:c r="O170" s="6" t="n">
        <x:f>ABS(M170)</x:f>
        <x:v>0.06659252491609909</x:v>
      </x:c>
      <x:c r="P170" s="5" t="n">
        <x:v>26208.837339382902</x:v>
      </x:c>
      <x:c r="Q170" s="5" t="n">
        <x:f>P170-$D170</x:f>
        <x:v>-2076.6229913489115</x:v>
      </x:c>
      <x:c r="R170" s="6" t="n">
        <x:f>Q170/$D170</x:f>
        <x:v>-0.07341662349022071</x:v>
      </x:c>
      <x:c r="S170" s="5" t="n">
        <x:f>ABS(Q170)</x:f>
        <x:v>2076.6229913489115</x:v>
      </x:c>
      <x:c r="T170" s="6" t="n">
        <x:f>ABS(R170)</x:f>
        <x:v>0.07341662349022071</x:v>
      </x:c>
    </x:row>
    <x:row r="171">
      <x:c r="A171" s="4"/>
      <x:c r="B171" s="4" t="str">
        <x:v>Tacacoma</x:v>
      </x:c>
      <x:c r="C171" s="5" t="n">
        <x:v>8182</x:v>
      </x:c>
      <x:c r="D171" s="5" t="n">
        <x:v>9339.757567387862</x:v>
      </x:c>
      <x:c r="E171" s="5" t="n">
        <x:v>9761</x:v>
      </x:c>
      <x:c r="F171" s="5" t="n">
        <x:v>8088</x:v>
      </x:c>
      <x:c r="G171" s="5" t="n">
        <x:f>F171-$D171</x:f>
        <x:v>-1251.7575673878619</x:v>
      </x:c>
      <x:c r="H171" s="6" t="n">
        <x:f>G171/$D171</x:f>
        <x:v>-0.1340246316198497</x:v>
      </x:c>
      <x:c r="I171" s="5" t="n">
        <x:f>ABS(G171)</x:f>
        <x:v>1251.7575673878619</x:v>
      </x:c>
      <x:c r="J171" s="6" t="n">
        <x:f>ABS(H171)</x:f>
        <x:v>0.1340246316198497</x:v>
      </x:c>
      <x:c r="K171" s="5" t="n">
        <x:v>8070.212126873681</x:v>
      </x:c>
      <x:c r="L171" s="5" t="n">
        <x:f>K171-$D171</x:f>
        <x:v>-1269.5454405141809</x:v>
      </x:c>
      <x:c r="M171" s="6" t="n">
        <x:f>L171/$D171</x:f>
        <x:v>-0.13592916425872997</x:v>
      </x:c>
      <x:c r="N171" s="5" t="n">
        <x:f>ABS(L171)</x:f>
        <x:v>1269.5454405141809</x:v>
      </x:c>
      <x:c r="O171" s="6" t="n">
        <x:f>ABS(M171)</x:f>
        <x:v>0.13592916425872997</x:v>
      </x:c>
      <x:c r="P171" s="5" t="n">
        <x:v>9347.672817628132</x:v>
      </x:c>
      <x:c r="Q171" s="5" t="n">
        <x:f>P171-$D171</x:f>
        <x:v>7.915250240270325</x:v>
      </x:c>
      <x:c r="R171" s="6" t="n">
        <x:f>Q171/$D171</x:f>
        <x:v>0.0008474791966665637</x:v>
      </x:c>
      <x:c r="S171" s="5" t="n">
        <x:f>ABS(Q171)</x:f>
        <x:v>7.915250240270325</x:v>
      </x:c>
      <x:c r="T171" s="6" t="n">
        <x:f>ABS(R171)</x:f>
        <x:v>0.0008474791966665637</x:v>
      </x:c>
    </x:row>
    <x:row r="172">
      <x:c r="A172" s="4"/>
      <x:c r="B172" s="4" t="str">
        <x:v>Taraco</x:v>
      </x:c>
      <x:c r="C172" s="5" t="n">
        <x:v>6603</x:v>
      </x:c>
      <x:c r="D172" s="5" t="n">
        <x:v>7293.967665270168</x:v>
      </x:c>
      <x:c r="E172" s="5" t="n">
        <x:v>7540</x:v>
      </x:c>
      <x:c r="F172" s="5" t="n">
        <x:v>6491</x:v>
      </x:c>
      <x:c r="G172" s="5" t="n">
        <x:f>F172-$D172</x:f>
        <x:v>-802.9676652701683</x:v>
      </x:c>
      <x:c r="H172" s="6" t="n">
        <x:f>G172/$D172</x:f>
        <x:v>-0.11008654029184353</x:v>
      </x:c>
      <x:c r="I172" s="5" t="n">
        <x:f>ABS(G172)</x:f>
        <x:v>802.9676652701683</x:v>
      </x:c>
      <x:c r="J172" s="6" t="n">
        <x:f>ABS(H172)</x:f>
        <x:v>0.11008654029184353</x:v>
      </x:c>
      <x:c r="K172" s="5" t="n">
        <x:v>5015.549499518713</x:v>
      </x:c>
      <x:c r="L172" s="5" t="n">
        <x:f>K172-$D172</x:f>
        <x:v>-2278.4181657514555</x:v>
      </x:c>
      <x:c r="M172" s="6" t="n">
        <x:f>L172/$D172</x:f>
        <x:v>-0.3123702037506994</x:v>
      </x:c>
      <x:c r="N172" s="5" t="n">
        <x:f>ABS(L172)</x:f>
        <x:v>2278.4181657514555</x:v>
      </x:c>
      <x:c r="O172" s="6" t="n">
        <x:f>ABS(M172)</x:f>
        <x:v>0.3123702037506994</x:v>
      </x:c>
      <x:c r="P172" s="5" t="n">
        <x:v>7525.497686613633</x:v>
      </x:c>
      <x:c r="Q172" s="5" t="n">
        <x:f>P172-$D172</x:f>
        <x:v>231.5300213434648</x:v>
      </x:c>
      <x:c r="R172" s="6" t="n">
        <x:f>Q172/$D172</x:f>
        <x:v>0.03174267174858513</x:v>
      </x:c>
      <x:c r="S172" s="5" t="n">
        <x:f>ABS(Q172)</x:f>
        <x:v>231.5300213434648</x:v>
      </x:c>
      <x:c r="T172" s="6" t="n">
        <x:f>ABS(R172)</x:f>
        <x:v>0.03174267174858513</x:v>
      </x:c>
    </x:row>
    <x:row r="173">
      <x:c r="A173" s="4"/>
      <x:c r="B173" s="4" t="str">
        <x:v>Teoponte</x:v>
      </x:c>
      <x:c r="C173" s="5" t="n">
        <x:v>9349</x:v>
      </x:c>
      <x:c r="D173" s="5" t="n">
        <x:v>12232.325533558664</x:v>
      </x:c>
      <x:c r="E173" s="5" t="n">
        <x:v>13379</x:v>
      </x:c>
      <x:c r="F173" s="5" t="n">
        <x:v>8688</x:v>
      </x:c>
      <x:c r="G173" s="5" t="n">
        <x:f>F173-$D173</x:f>
        <x:v>-3544.3255335586637</x:v>
      </x:c>
      <x:c r="H173" s="6" t="n">
        <x:f>G173/$D173</x:f>
        <x:v>-0.2897507529402333</x:v>
      </x:c>
      <x:c r="I173" s="5" t="n">
        <x:f>ABS(G173)</x:f>
        <x:v>3544.3255335586637</x:v>
      </x:c>
      <x:c r="J173" s="6" t="n">
        <x:f>ABS(H173)</x:f>
        <x:v>0.2897507529402333</x:v>
      </x:c>
      <x:c r="K173" s="5" t="n">
        <x:v>12709.108528846744</x:v>
      </x:c>
      <x:c r="L173" s="5" t="n">
        <x:f>K173-$D173</x:f>
        <x:v>476.7829952880802</x:v>
      </x:c>
      <x:c r="M173" s="6" t="n">
        <x:f>L173/$D173</x:f>
        <x:v>0.03897729781471677</x:v>
      </x:c>
      <x:c r="N173" s="5" t="n">
        <x:f>ABS(L173)</x:f>
        <x:v>476.7829952880802</x:v>
      </x:c>
      <x:c r="O173" s="6" t="n">
        <x:f>ABS(M173)</x:f>
        <x:v>0.03897729781471677</x:v>
      </x:c>
      <x:c r="P173" s="5" t="n">
        <x:v>11080.763941963029</x:v>
      </x:c>
      <x:c r="Q173" s="5" t="n">
        <x:f>P173-$D173</x:f>
        <x:v>-1151.561591595635</x:v>
      </x:c>
      <x:c r="R173" s="6" t="n">
        <x:f>Q173/$D173</x:f>
        <x:v>-0.09414085559090082</x:v>
      </x:c>
      <x:c r="S173" s="5" t="n">
        <x:f>ABS(Q173)</x:f>
        <x:v>1151.561591595635</x:v>
      </x:c>
      <x:c r="T173" s="6" t="n">
        <x:f>ABS(R173)</x:f>
        <x:v>0.09414085559090082</x:v>
      </x:c>
    </x:row>
    <x:row r="174">
      <x:c r="A174" s="4"/>
      <x:c r="B174" s="4" t="str">
        <x:v>Tiahuanacu</x:v>
      </x:c>
      <x:c r="C174" s="5" t="n">
        <x:v>12189</x:v>
      </x:c>
      <x:c r="D174" s="5" t="n">
        <x:v>13267.64307431393</x:v>
      </x:c>
      <x:c r="E174" s="5" t="n">
        <x:v>13648</x:v>
      </x:c>
      <x:c r="F174" s="5" t="n">
        <x:v>9908</x:v>
      </x:c>
      <x:c r="G174" s="5" t="n">
        <x:f>F174-$D174</x:f>
        <x:v>-3359.64307431393</x:v>
      </x:c>
      <x:c r="H174" s="6" t="n">
        <x:f>G174/$D174</x:f>
        <x:v>-0.2532207910249091</x:v>
      </x:c>
      <x:c r="I174" s="5" t="n">
        <x:f>ABS(G174)</x:f>
        <x:v>3359.64307431393</x:v>
      </x:c>
      <x:c r="J174" s="6" t="n">
        <x:f>ABS(H174)</x:f>
        <x:v>0.2532207910249091</x:v>
      </x:c>
      <x:c r="K174" s="5" t="n">
        <x:v>15854.908631552722</x:v>
      </x:c>
      <x:c r="L174" s="5" t="n">
        <x:f>K174-$D174</x:f>
        <x:v>2587.265557238792</x:v>
      </x:c>
      <x:c r="M174" s="6" t="n">
        <x:f>L174/$D174</x:f>
        <x:v>0.19500566473993572</x:v>
      </x:c>
      <x:c r="N174" s="5" t="n">
        <x:f>ABS(L174)</x:f>
        <x:v>2587.265557238792</x:v>
      </x:c>
      <x:c r="O174" s="6" t="n">
        <x:f>ABS(M174)</x:f>
        <x:v>0.19500566473993572</x:v>
      </x:c>
      <x:c r="P174" s="5" t="n">
        <x:v>14160.50060823</x:v>
      </x:c>
      <x:c r="Q174" s="5" t="n">
        <x:f>P174-$D174</x:f>
        <x:v>892.8575339160707</x:v>
      </x:c>
      <x:c r="R174" s="6" t="n">
        <x:f>Q174/$D174</x:f>
        <x:v>0.06729586626012249</x:v>
      </x:c>
      <x:c r="S174" s="5" t="n">
        <x:f>ABS(Q174)</x:f>
        <x:v>892.8575339160707</x:v>
      </x:c>
      <x:c r="T174" s="6" t="n">
        <x:f>ABS(R174)</x:f>
        <x:v>0.06729586626012249</x:v>
      </x:c>
    </x:row>
    <x:row r="175">
      <x:c r="A175" s="4"/>
      <x:c r="B175" s="4" t="str">
        <x:v>Tipuani</x:v>
      </x:c>
      <x:c r="C175" s="5" t="n">
        <x:v>9985</x:v>
      </x:c>
      <x:c r="D175" s="5" t="n">
        <x:v>8229.646515187498</x:v>
      </x:c>
      <x:c r="E175" s="5" t="n">
        <x:v>7716</x:v>
      </x:c>
      <x:c r="F175" s="5" t="n">
        <x:v>8278</x:v>
      </x:c>
      <x:c r="G175" s="5" t="n">
        <x:f>F175-$D175</x:f>
        <x:v>48.35348481250185</x:v>
      </x:c>
      <x:c r="H175" s="6" t="n">
        <x:f>G175/$D175</x:f>
        <x:v>0.005875523902912153</x:v>
      </x:c>
      <x:c r="I175" s="5" t="n">
        <x:f>ABS(G175)</x:f>
        <x:v>48.35348481250185</x:v>
      </x:c>
      <x:c r="J175" s="6" t="n">
        <x:f>ABS(H175)</x:f>
        <x:v>0.005875523902912153</x:v>
      </x:c>
      <x:c r="K175" s="5" t="n">
        <x:v>6595.304464442013</x:v>
      </x:c>
      <x:c r="L175" s="5" t="n">
        <x:f>K175-$D175</x:f>
        <x:v>-1634.3420507454848</x:v>
      </x:c>
      <x:c r="M175" s="6" t="n">
        <x:f>L175/$D175</x:f>
        <x:v>-0.19859201093623755</x:v>
      </x:c>
      <x:c r="N175" s="5" t="n">
        <x:f>ABS(L175)</x:f>
        <x:v>1634.3420507454848</x:v>
      </x:c>
      <x:c r="O175" s="6" t="n">
        <x:f>ABS(M175)</x:f>
        <x:v>0.19859201093623755</x:v>
      </x:c>
      <x:c r="P175" s="5" t="n">
        <x:v>11257.080330105498</x:v>
      </x:c>
      <x:c r="Q175" s="5" t="n">
        <x:f>P175-$D175</x:f>
        <x:v>3027.4338149180003</x:v>
      </x:c>
      <x:c r="R175" s="6" t="n">
        <x:f>Q175/$D175</x:f>
        <x:v>0.3678692407178105</x:v>
      </x:c>
      <x:c r="S175" s="5" t="n">
        <x:f>ABS(Q175)</x:f>
        <x:v>3027.4338149180003</x:v>
      </x:c>
      <x:c r="T175" s="6" t="n">
        <x:f>ABS(R175)</x:f>
        <x:v>0.3678692407178105</x:v>
      </x:c>
    </x:row>
    <x:row r="176">
      <x:c r="A176" s="4"/>
      <x:c r="B176" s="4" t="str">
        <x:v>Tito Yupanqui</x:v>
      </x:c>
      <x:c r="C176" s="5" t="n">
        <x:v>6261</x:v>
      </x:c>
      <x:c r="D176" s="5" t="n">
        <x:v>7186.8867961596925</x:v>
      </x:c>
      <x:c r="E176" s="5" t="n">
        <x:v>7525</x:v>
      </x:c>
      <x:c r="F176" s="5" t="n">
        <x:v>1980</x:v>
      </x:c>
      <x:c r="G176" s="5" t="n">
        <x:f>F176-$D176</x:f>
        <x:v>-5206.8867961596925</x:v>
      </x:c>
      <x:c r="H176" s="6" t="n">
        <x:f>G176/$D176</x:f>
        <x:v>-0.7244982346100106</x:v>
      </x:c>
      <x:c r="I176" s="5" t="n">
        <x:f>ABS(G176)</x:f>
        <x:v>5206.8867961596925</x:v>
      </x:c>
      <x:c r="J176" s="6" t="n">
        <x:f>ABS(H176)</x:f>
        <x:v>0.7244982346100106</x:v>
      </x:c>
      <x:c r="K176" s="5" t="n">
        <x:v>4678.582348000595</x:v>
      </x:c>
      <x:c r="L176" s="5" t="n">
        <x:f>K176-$D176</x:f>
        <x:v>-2508.304448159098</x:v>
      </x:c>
      <x:c r="M176" s="6" t="n">
        <x:f>L176/$D176</x:f>
        <x:v>-0.3490112644461589</x:v>
      </x:c>
      <x:c r="N176" s="5" t="n">
        <x:f>ABS(L176)</x:f>
        <x:v>2508.304448159098</x:v>
      </x:c>
      <x:c r="O176" s="6" t="n">
        <x:f>ABS(M176)</x:f>
        <x:v>0.3490112644461589</x:v>
      </x:c>
      <x:c r="P176" s="5" t="n">
        <x:v>7127.925433948054</x:v>
      </x:c>
      <x:c r="Q176" s="5" t="n">
        <x:f>P176-$D176</x:f>
        <x:v>-58.961362211638516</x:v>
      </x:c>
      <x:c r="R176" s="6" t="n">
        <x:f>Q176/$D176</x:f>
        <x:v>-0.008204019888436878</x:v>
      </x:c>
      <x:c r="S176" s="5" t="n">
        <x:f>ABS(Q176)</x:f>
        <x:v>58.961362211638516</x:v>
      </x:c>
      <x:c r="T176" s="6" t="n">
        <x:f>ABS(R176)</x:f>
        <x:v>0.008204019888436878</x:v>
      </x:c>
    </x:row>
    <x:row r="177">
      <x:c r="A177" s="4"/>
      <x:c r="B177" s="4" t="str">
        <x:v>Umala</x:v>
      </x:c>
      <x:c r="C177" s="5" t="n">
        <x:v>8903</x:v>
      </x:c>
      <x:c r="D177" s="5" t="n">
        <x:v>9051.83683077428</x:v>
      </x:c>
      <x:c r="E177" s="5" t="n">
        <x:v>9102</x:v>
      </x:c>
      <x:c r="F177" s="5" t="n">
        <x:v>8584</x:v>
      </x:c>
      <x:c r="G177" s="5" t="n">
        <x:f>F177-$D177</x:f>
        <x:v>-467.8368307742803</x:v>
      </x:c>
      <x:c r="H177" s="6" t="n">
        <x:f>G177/$D177</x:f>
        <x:v>-0.05168418736667199</x:v>
      </x:c>
      <x:c r="I177" s="5" t="n">
        <x:f>ABS(G177)</x:f>
        <x:v>467.8368307742803</x:v>
      </x:c>
      <x:c r="J177" s="6" t="n">
        <x:f>ABS(H177)</x:f>
        <x:v>0.05168418736667199</x:v>
      </x:c>
      <x:c r="K177" s="5" t="n">
        <x:v>13199.515566463162</x:v>
      </x:c>
      <x:c r="L177" s="5" t="n">
        <x:f>K177-$D177</x:f>
        <x:v>4147.678735688882</x:v>
      </x:c>
      <x:c r="M177" s="6" t="n">
        <x:f>L177/$D177</x:f>
        <x:v>0.45821404133000654</x:v>
      </x:c>
      <x:c r="N177" s="5" t="n">
        <x:f>ABS(L177)</x:f>
        <x:v>4147.678735688882</x:v>
      </x:c>
      <x:c r="O177" s="6" t="n">
        <x:f>ABS(M177)</x:f>
        <x:v>0.45821404133000654</x:v>
      </x:c>
      <x:c r="P177" s="5" t="n">
        <x:v>10079.90767366138</x:v>
      </x:c>
      <x:c r="Q177" s="5" t="n">
        <x:f>P177-$D177</x:f>
        <x:v>1028.0708428871003</x:v>
      </x:c>
      <x:c r="R177" s="6" t="n">
        <x:f>Q177/$D177</x:f>
        <x:v>0.11357593625548823</x:v>
      </x:c>
      <x:c r="S177" s="5" t="n">
        <x:f>ABS(Q177)</x:f>
        <x:v>1028.0708428871003</x:v>
      </x:c>
      <x:c r="T177" s="6" t="n">
        <x:f>ABS(R177)</x:f>
        <x:v>0.11357593625548823</x:v>
      </x:c>
    </x:row>
    <x:row r="178">
      <x:c r="A178" s="4"/>
      <x:c r="B178" s="4" t="str">
        <x:v>Viacha</x:v>
      </x:c>
      <x:c r="C178" s="5" t="n">
        <x:v>80724</x:v>
      </x:c>
      <x:c r="D178" s="5" t="n">
        <x:v>104268.34883860314</x:v>
      </x:c>
      <x:c r="E178" s="5" t="n">
        <x:v>113554</x:v>
      </x:c>
      <x:c r="F178" s="5" t="n">
        <x:v>85703</x:v>
      </x:c>
      <x:c r="G178" s="5" t="n">
        <x:f>F178-$D178</x:f>
        <x:v>-18565.34883860314</x:v>
      </x:c>
      <x:c r="H178" s="6" t="n">
        <x:f>G178/$D178</x:f>
        <x:v>-0.17805354209013535</x:v>
      </x:c>
      <x:c r="I178" s="5" t="n">
        <x:f>ABS(G178)</x:f>
        <x:v>18565.34883860314</x:v>
      </x:c>
      <x:c r="J178" s="6" t="n">
        <x:f>ABS(H178)</x:f>
        <x:v>0.17805354209013535</x:v>
      </x:c>
      <x:c r="K178" s="5" t="n">
        <x:v>72830.41718425034</x:v>
      </x:c>
      <x:c r="L178" s="5" t="n">
        <x:f>K178-$D178</x:f>
        <x:v>-31437.931654352797</x:v>
      </x:c>
      <x:c r="M178" s="6" t="n">
        <x:f>L178/$D178</x:f>
        <x:v>-0.301509825412269</x:v>
      </x:c>
      <x:c r="N178" s="5" t="n">
        <x:f>ABS(L178)</x:f>
        <x:v>31437.931654352797</x:v>
      </x:c>
      <x:c r="O178" s="6" t="n">
        <x:f>ABS(M178)</x:f>
        <x:v>0.301509825412269</x:v>
      </x:c>
      <x:c r="P178" s="5" t="n">
        <x:v>85749.32893096452</x:v>
      </x:c>
      <x:c r="Q178" s="5" t="n">
        <x:f>P178-$D178</x:f>
        <x:v>-18519.01990763862</x:v>
      </x:c>
      <x:c r="R178" s="6" t="n">
        <x:f>Q178/$D178</x:f>
        <x:v>-0.17760921807924848</x:v>
      </x:c>
      <x:c r="S178" s="5" t="n">
        <x:f>ABS(Q178)</x:f>
        <x:v>18519.01990763862</x:v>
      </x:c>
      <x:c r="T178" s="6" t="n">
        <x:f>ABS(R178)</x:f>
        <x:v>0.17760921807924848</x:v>
      </x:c>
    </x:row>
    <x:row r="179">
      <x:c r="A179" s="4"/>
      <x:c r="B179" s="4" t="str">
        <x:v>Villa Ancoraimes</x:v>
      </x:c>
      <x:c r="C179" s="5" t="n">
        <x:v>13136</x:v>
      </x:c>
      <x:c r="D179" s="5" t="n">
        <x:v>15905.62380574859</x:v>
      </x:c>
      <x:c r="E179" s="5" t="n">
        <x:v>16953</x:v>
      </x:c>
      <x:c r="F179" s="5" t="n">
        <x:v>9442</x:v>
      </x:c>
      <x:c r="G179" s="5" t="n">
        <x:f>F179-$D179</x:f>
        <x:v>-6463.62380574859</x:v>
      </x:c>
      <x:c r="H179" s="6" t="n">
        <x:f>G179/$D179</x:f>
        <x:v>-0.4063734868048693</x:v>
      </x:c>
      <x:c r="I179" s="5" t="n">
        <x:f>ABS(G179)</x:f>
        <x:v>6463.62380574859</x:v>
      </x:c>
      <x:c r="J179" s="6" t="n">
        <x:f>ABS(H179)</x:f>
        <x:v>0.4063734868048693</x:v>
      </x:c>
      <x:c r="K179" s="5" t="n">
        <x:v>16210.908783510164</x:v>
      </x:c>
      <x:c r="L179" s="5" t="n">
        <x:f>K179-$D179</x:f>
        <x:v>305.2849777615738</x:v>
      </x:c>
      <x:c r="M179" s="6" t="n">
        <x:f>L179/$D179</x:f>
        <x:v>0.019193524346479144</x:v>
      </x:c>
      <x:c r="N179" s="5" t="n">
        <x:f>ABS(L179)</x:f>
        <x:v>305.2849777615738</x:v>
      </x:c>
      <x:c r="O179" s="6" t="n">
        <x:f>ABS(M179)</x:f>
        <x:v>0.019193524346479144</x:v>
      </x:c>
      <x:c r="P179" s="5" t="n">
        <x:v>15030.16328864163</x:v>
      </x:c>
      <x:c r="Q179" s="5" t="n">
        <x:f>P179-$D179</x:f>
        <x:v>-875.4605171069597</x:v>
      </x:c>
      <x:c r="R179" s="6" t="n">
        <x:f>Q179/$D179</x:f>
        <x:v>-0.0550409419837122</x:v>
      </x:c>
      <x:c r="S179" s="5" t="n">
        <x:f>ABS(Q179)</x:f>
        <x:v>875.4605171069597</x:v>
      </x:c>
      <x:c r="T179" s="6" t="n">
        <x:f>ABS(R179)</x:f>
        <x:v>0.0550409419837122</x:v>
      </x:c>
    </x:row>
    <x:row r="180">
      <x:c r="A180" s="4"/>
      <x:c r="B180" s="4" t="str">
        <x:v>Villa Libertad Licoma</x:v>
      </x:c>
      <x:c r="C180" s="5" t="n">
        <x:v>5488</x:v>
      </x:c>
      <x:c r="D180" s="5" t="n">
        <x:v>7196.546895613929</x:v>
      </x:c>
      <x:c r="E180" s="5" t="n">
        <x:v>7877</x:v>
      </x:c>
      <x:c r="F180" s="5" t="n">
        <x:v>3227</x:v>
      </x:c>
      <x:c r="G180" s="5" t="n">
        <x:f>F180-$D180</x:f>
        <x:v>-3969.5468956139293</x:v>
      </x:c>
      <x:c r="H180" s="6" t="n">
        <x:f>G180/$D180</x:f>
        <x:v>-0.5515904993314563</x:v>
      </x:c>
      <x:c r="I180" s="5" t="n">
        <x:f>ABS(G180)</x:f>
        <x:v>3969.5468956139293</x:v>
      </x:c>
      <x:c r="J180" s="6" t="n">
        <x:f>ABS(H180)</x:f>
        <x:v>0.5515904993314563</x:v>
      </x:c>
      <x:c r="K180" s="5" t="n">
        <x:v>4971.470558218771</x:v>
      </x:c>
      <x:c r="L180" s="5" t="n">
        <x:f>K180-$D180</x:f>
        <x:v>-2225.0763373951586</x:v>
      </x:c>
      <x:c r="M180" s="6" t="n">
        <x:f>L180/$D180</x:f>
        <x:v>-0.3091866654480183</x:v>
      </x:c>
      <x:c r="N180" s="5" t="n">
        <x:f>ABS(L180)</x:f>
        <x:v>2225.0763373951586</x:v>
      </x:c>
      <x:c r="O180" s="6" t="n">
        <x:f>ABS(M180)</x:f>
        <x:v>0.3091866654480183</x:v>
      </x:c>
      <x:c r="P180" s="5" t="n">
        <x:v>6360.1285393436265</x:v>
      </x:c>
      <x:c r="Q180" s="5" t="n">
        <x:f>P180-$D180</x:f>
        <x:v>-836.4183562703029</x:v>
      </x:c>
      <x:c r="R180" s="6" t="n">
        <x:f>Q180/$D180</x:f>
        <x:v>-0.11622495738616999</x:v>
      </x:c>
      <x:c r="S180" s="5" t="n">
        <x:f>ABS(Q180)</x:f>
        <x:v>836.4183562703029</x:v>
      </x:c>
      <x:c r="T180" s="6" t="n">
        <x:f>ABS(R180)</x:f>
        <x:v>0.11622495738616999</x:v>
      </x:c>
    </x:row>
    <x:row r="181">
      <x:c r="A181" s="4"/>
      <x:c r="B181" s="4" t="str">
        <x:v>Waldo Ballivián</x:v>
      </x:c>
      <x:c r="C181" s="5" t="n">
        <x:v>5069</x:v>
      </x:c>
      <x:c r="D181" s="5" t="n">
        <x:v>6067.308994682537</x:v>
      </x:c>
      <x:c r="E181" s="5" t="n">
        <x:v>6442</x:v>
      </x:c>
      <x:c r="F181" s="5" t="n">
        <x:v>3151</x:v>
      </x:c>
      <x:c r="G181" s="5" t="n">
        <x:f>F181-$D181</x:f>
        <x:v>-2916.3089946825366</x:v>
      </x:c>
      <x:c r="H181" s="6" t="n">
        <x:f>G181/$D181</x:f>
        <x:v>-0.48065938247721113</x:v>
      </x:c>
      <x:c r="I181" s="5" t="n">
        <x:f>ABS(G181)</x:f>
        <x:v>2916.3089946825366</x:v>
      </x:c>
      <x:c r="J181" s="6" t="n">
        <x:f>ABS(H181)</x:f>
        <x:v>0.48065938247721113</x:v>
      </x:c>
      <x:c r="K181" s="5" t="n">
        <x:v>3046.4710719720288</x:v>
      </x:c>
      <x:c r="L181" s="5" t="n">
        <x:f>K181-$D181</x:f>
        <x:v>-3020.837922710508</x:v>
      </x:c>
      <x:c r="M181" s="6" t="n">
        <x:f>L181/$D181</x:f>
        <x:v>-0.4978876014651647</x:v>
      </x:c>
      <x:c r="N181" s="5" t="n">
        <x:f>ABS(L181)</x:f>
        <x:v>3020.837922710508</x:v>
      </x:c>
      <x:c r="O181" s="6" t="n">
        <x:f>ABS(M181)</x:f>
        <x:v>0.4978876014651647</x:v>
      </x:c>
      <x:c r="P181" s="5" t="n">
        <x:v>5391.862330462143</x:v>
      </x:c>
      <x:c r="Q181" s="5" t="n">
        <x:f>P181-$D181</x:f>
        <x:v>-675.4466642203934</x:v>
      </x:c>
      <x:c r="R181" s="6" t="n">
        <x:f>Q181/$D181</x:f>
        <x:v>-0.11132557527766643</x:v>
      </x:c>
      <x:c r="S181" s="5" t="n">
        <x:f>ABS(Q181)</x:f>
        <x:v>675.4466642203934</x:v>
      </x:c>
      <x:c r="T181" s="6" t="n">
        <x:f>ABS(R181)</x:f>
        <x:v>0.11132557527766643</x:v>
      </x:c>
    </x:row>
    <x:row r="182">
      <x:c r="A182" s="4"/>
      <x:c r="B182" s="4" t="str">
        <x:v>Yaco</x:v>
      </x:c>
      <x:c r="C182" s="5" t="n">
        <x:v>7315</x:v>
      </x:c>
      <x:c r="D182" s="5" t="n">
        <x:v>10798.82425898586</x:v>
      </x:c>
      <x:c r="E182" s="5" t="n">
        <x:v>12296</x:v>
      </x:c>
      <x:c r="F182" s="5" t="n">
        <x:v>7671</x:v>
      </x:c>
      <x:c r="G182" s="5" t="n">
        <x:f>F182-$D182</x:f>
        <x:v>-3127.82425898586</x:v>
      </x:c>
      <x:c r="H182" s="6" t="n">
        <x:f>G182/$D182</x:f>
        <x:v>-0.2896448894779588</x:v>
      </x:c>
      <x:c r="I182" s="5" t="n">
        <x:f>ABS(G182)</x:f>
        <x:v>3127.82425898586</x:v>
      </x:c>
      <x:c r="J182" s="6" t="n">
        <x:f>ABS(H182)</x:f>
        <x:v>0.2896448894779588</x:v>
      </x:c>
      <x:c r="K182" s="5" t="n">
        <x:v>12192.011846575017</x:v>
      </x:c>
      <x:c r="L182" s="5" t="n">
        <x:f>K182-$D182</x:f>
        <x:v>1393.1875875891565</x:v>
      </x:c>
      <x:c r="M182" s="6" t="n">
        <x:f>L182/$D182</x:f>
        <x:v>0.12901289567981114</x:v>
      </x:c>
      <x:c r="N182" s="5" t="n">
        <x:f>ABS(L182)</x:f>
        <x:v>1393.1875875891565</x:v>
      </x:c>
      <x:c r="O182" s="6" t="n">
        <x:f>ABS(M182)</x:f>
        <x:v>0.12901289567981114</x:v>
      </x:c>
      <x:c r="P182" s="5" t="n">
        <x:v>5466.9729149928735</x:v>
      </x:c>
      <x:c r="Q182" s="5" t="n">
        <x:f>P182-$D182</x:f>
        <x:v>-5331.851343992987</x:v>
      </x:c>
      <x:c r="R182" s="6" t="n">
        <x:f>Q182/$D182</x:f>
        <x:v>-0.4937436906204187</x:v>
      </x:c>
      <x:c r="S182" s="5" t="n">
        <x:f>ABS(Q182)</x:f>
        <x:v>5331.851343992987</x:v>
      </x:c>
      <x:c r="T182" s="6" t="n">
        <x:f>ABS(R182)</x:f>
        <x:v>0.4937436906204187</x:v>
      </x:c>
    </x:row>
    <x:row r="183">
      <x:c r="A183" s="4"/>
      <x:c r="B183" s="4" t="str">
        <x:v>Yanacachi</x:v>
      </x:c>
      <x:c r="C183" s="5" t="n">
        <x:v>6420</x:v>
      </x:c>
      <x:c r="D183" s="5" t="n">
        <x:v>7296.862922781333</x:v>
      </x:c>
      <x:c r="E183" s="5" t="n">
        <x:v>7615</x:v>
      </x:c>
      <x:c r="F183" s="5" t="n">
        <x:v>6406</x:v>
      </x:c>
      <x:c r="G183" s="5" t="n">
        <x:f>F183-$D183</x:f>
        <x:v>-890.8629227813326</x:v>
      </x:c>
      <x:c r="H183" s="6" t="n">
        <x:f>G183/$D183</x:f>
        <x:v>-0.12208848270946604</x:v>
      </x:c>
      <x:c r="I183" s="5" t="n">
        <x:f>ABS(G183)</x:f>
        <x:v>890.8629227813326</x:v>
      </x:c>
      <x:c r="J183" s="6" t="n">
        <x:f>ABS(H183)</x:f>
        <x:v>0.12208848270946604</x:v>
      </x:c>
      <x:c r="K183" s="5" t="n">
        <x:v>8371.528779249265</x:v>
      </x:c>
      <x:c r="L183" s="5" t="n">
        <x:f>K183-$D183</x:f>
        <x:v>1074.6658564679328</x:v>
      </x:c>
      <x:c r="M183" s="6" t="n">
        <x:f>L183/$D183</x:f>
        <x:v>0.14727779154419202</x:v>
      </x:c>
      <x:c r="N183" s="5" t="n">
        <x:f>ABS(L183)</x:f>
        <x:v>1074.6658564679328</x:v>
      </x:c>
      <x:c r="O183" s="6" t="n">
        <x:f>ABS(M183)</x:f>
        <x:v>0.14727779154419202</x:v>
      </x:c>
      <x:c r="P183" s="5" t="n">
        <x:v>6682.093940896681</x:v>
      </x:c>
      <x:c r="Q183" s="5" t="n">
        <x:f>P183-$D183</x:f>
        <x:v>-614.768981884652</x:v>
      </x:c>
      <x:c r="R183" s="6" t="n">
        <x:f>Q183/$D183</x:f>
        <x:v>-0.0842511348219656</x:v>
      </x:c>
      <x:c r="S183" s="5" t="n">
        <x:f>ABS(Q183)</x:f>
        <x:v>614.768981884652</x:v>
      </x:c>
      <x:c r="T183" s="6" t="n">
        <x:f>ABS(R183)</x:f>
        <x:v>0.0842511348219656</x:v>
      </x:c>
    </x:row>
    <x:row r="184">
      <x:c r="A184" s="4"/>
      <x:c r="B184" s="4" t="str">
        <x:v>Andamarca</x:v>
      </x:c>
      <x:c r="C184" s="5" t="n">
        <x:v>5216</x:v>
      </x:c>
      <x:c r="D184" s="5" t="n">
        <x:v>6017.38821052641</x:v>
      </x:c>
      <x:c r="E184" s="5" t="n">
        <x:v>6311</x:v>
      </x:c>
      <x:c r="F184" s="5" t="n">
        <x:v>4358</x:v>
      </x:c>
      <x:c r="G184" s="5" t="n">
        <x:f>F184-$D184</x:f>
        <x:v>-1659.3882105264101</x:v>
      </x:c>
      <x:c r="H184" s="6" t="n">
        <x:f>G184/$D184</x:f>
        <x:v>-0.2757655235910472</x:v>
      </x:c>
      <x:c r="I184" s="5" t="n">
        <x:f>ABS(G184)</x:f>
        <x:v>1659.3882105264101</x:v>
      </x:c>
      <x:c r="J184" s="6" t="n">
        <x:f>ABS(H184)</x:f>
        <x:v>0.2757655235910472</x:v>
      </x:c>
      <x:c r="K184" s="5" t="n">
        <x:v>4819.6202512988975</x:v>
      </x:c>
      <x:c r="L184" s="5" t="n">
        <x:f>K184-$D184</x:f>
        <x:v>-1197.7679592275126</x:v>
      </x:c>
      <x:c r="M184" s="6" t="n">
        <x:f>L184/$D184</x:f>
        <x:v>-0.1990511360281224</x:v>
      </x:c>
      <x:c r="N184" s="5" t="n">
        <x:f>ABS(L184)</x:f>
        <x:v>1197.7679592275126</x:v>
      </x:c>
      <x:c r="O184" s="6" t="n">
        <x:f>ABS(M184)</x:f>
        <x:v>0.1990511360281224</x:v>
      </x:c>
      <x:c r="P184" s="5" t="n">
        <x:v>4000.427763801177</x:v>
      </x:c>
      <x:c r="Q184" s="5" t="n">
        <x:f>P184-$D184</x:f>
        <x:v>-2016.960446725233</x:v>
      </x:c>
      <x:c r="R184" s="6" t="n">
        <x:f>Q184/$D184</x:f>
        <x:v>-0.3351886858815091</x:v>
      </x:c>
      <x:c r="S184" s="5" t="n">
        <x:f>ABS(Q184)</x:f>
        <x:v>2016.960446725233</x:v>
      </x:c>
      <x:c r="T184" s="6" t="n">
        <x:f>ABS(R184)</x:f>
        <x:v>0.3351886858815091</x:v>
      </x:c>
    </x:row>
    <x:row r="185">
      <x:c r="A185" s="4"/>
      <x:c r="B185" s="4" t="str">
        <x:v>Antequera</x:v>
      </x:c>
      <x:c r="C185" s="5" t="n">
        <x:v>3264</x:v>
      </x:c>
      <x:c r="D185" s="5" t="n">
        <x:v>3561.0812524169446</x:v>
      </x:c>
      <x:c r="E185" s="5" t="n">
        <x:v>3666</x:v>
      </x:c>
      <x:c r="F185" s="5" t="n">
        <x:v>3358</x:v>
      </x:c>
      <x:c r="G185" s="5" t="n">
        <x:f>F185-$D185</x:f>
        <x:v>-203.0812524169446</x:v>
      </x:c>
      <x:c r="H185" s="6" t="n">
        <x:f>G185/$D185</x:f>
        <x:v>-0.057027974938541816</x:v>
      </x:c>
      <x:c r="I185" s="5" t="n">
        <x:f>ABS(G185)</x:f>
        <x:v>203.0812524169446</x:v>
      </x:c>
      <x:c r="J185" s="6" t="n">
        <x:f>ABS(H185)</x:f>
        <x:v>0.057027974938541816</x:v>
      </x:c>
      <x:c r="K185" s="5" t="n">
        <x:v>3535.2905118486865</x:v>
      </x:c>
      <x:c r="L185" s="5" t="n">
        <x:f>K185-$D185</x:f>
        <x:v>-25.790740568258116</x:v>
      </x:c>
      <x:c r="M185" s="6" t="n">
        <x:f>L185/$D185</x:f>
        <x:v>-0.007242390369709666</x:v>
      </x:c>
      <x:c r="N185" s="5" t="n">
        <x:f>ABS(L185)</x:f>
        <x:v>25.790740568258116</x:v>
      </x:c>
      <x:c r="O185" s="6" t="n">
        <x:f>ABS(M185)</x:f>
        <x:v>0.007242390369709666</x:v>
      </x:c>
      <x:c r="P185" s="5" t="n">
        <x:v>2586.870433156255</x:v>
      </x:c>
      <x:c r="Q185" s="5" t="n">
        <x:f>P185-$D185</x:f>
        <x:v>-974.2108192606897</x:v>
      </x:c>
      <x:c r="R185" s="6" t="n">
        <x:f>Q185/$D185</x:f>
        <x:v>-0.273571634626276</x:v>
      </x:c>
      <x:c r="S185" s="5" t="n">
        <x:f>ABS(Q185)</x:f>
        <x:v>974.2108192606897</x:v>
      </x:c>
      <x:c r="T185" s="6" t="n">
        <x:f>ABS(R185)</x:f>
        <x:v>0.273571634626276</x:v>
      </x:c>
    </x:row>
    <x:row r="186">
      <x:c r="A186" s="4"/>
      <x:c r="B186" s="4" t="str">
        <x:v>Belén de Andamarca</x:v>
      </x:c>
      <x:c r="C186" s="5" t="n">
        <x:v>2016</x:v>
      </x:c>
      <x:c r="D186" s="5" t="n">
        <x:v>2757.5292582759107</x:v>
      </x:c>
      <x:c r="E186" s="5" t="n">
        <x:v>3061</x:v>
      </x:c>
      <x:c r="F186" s="5" t="n">
        <x:v>1526</x:v>
      </x:c>
      <x:c r="G186" s="5" t="n">
        <x:f>F186-$D186</x:f>
        <x:v>-1231.5292582759107</x:v>
      </x:c>
      <x:c r="H186" s="6" t="n">
        <x:f>G186/$D186</x:f>
        <x:v>-0.44660605307444656</x:v>
      </x:c>
      <x:c r="I186" s="5" t="n">
        <x:f>ABS(G186)</x:f>
        <x:v>1231.5292582759107</x:v>
      </x:c>
      <x:c r="J186" s="6" t="n">
        <x:f>ABS(H186)</x:f>
        <x:v>0.44660605307444656</x:v>
      </x:c>
      <x:c r="K186" s="5" t="n">
        <x:v>2260.2649275130807</x:v>
      </x:c>
      <x:c r="L186" s="5" t="n">
        <x:f>K186-$D186</x:f>
        <x:v>-497.26433076283</x:v>
      </x:c>
      <x:c r="M186" s="6" t="n">
        <x:f>L186/$D186</x:f>
        <x:v>-0.18032966622944718</x:v>
      </x:c>
      <x:c r="N186" s="5" t="n">
        <x:f>ABS(L186)</x:f>
        <x:v>497.26433076283</x:v>
      </x:c>
      <x:c r="O186" s="6" t="n">
        <x:f>ABS(M186)</x:f>
        <x:v>0.18032966622944718</x:v>
      </x:c>
      <x:c r="P186" s="5" t="n">
        <x:v>1524.906365374627</x:v>
      </x:c>
      <x:c r="Q186" s="5" t="n">
        <x:f>P186-$D186</x:f>
        <x:v>-1232.6228929012836</x:v>
      </x:c>
      <x:c r="R186" s="6" t="n">
        <x:f>Q186/$D186</x:f>
        <x:v>-0.44700265253829297</x:v>
      </x:c>
      <x:c r="S186" s="5" t="n">
        <x:f>ABS(Q186)</x:f>
        <x:v>1232.6228929012836</x:v>
      </x:c>
      <x:c r="T186" s="6" t="n">
        <x:f>ABS(R186)</x:f>
        <x:v>0.44700265253829297</x:v>
      </x:c>
    </x:row>
    <x:row r="187">
      <x:c r="A187" s="4"/>
      <x:c r="B187" s="4" t="str">
        <x:v>Caracollo</x:v>
      </x:c>
      <x:c r="C187" s="5" t="n">
        <x:v>23115</x:v>
      </x:c>
      <x:c r="D187" s="5" t="n">
        <x:v>22915.96381151394</x:v>
      </x:c>
      <x:c r="E187" s="5" t="n">
        <x:v>22850</x:v>
      </x:c>
      <x:c r="F187" s="5" t="n">
        <x:v>21251</x:v>
      </x:c>
      <x:c r="G187" s="5" t="n">
        <x:f>F187-$D187</x:f>
        <x:v>-1664.9638115139387</x:v>
      </x:c>
      <x:c r="H187" s="6" t="n">
        <x:f>G187/$D187</x:f>
        <x:v>-0.07265519465855463</x:v>
      </x:c>
      <x:c r="I187" s="5" t="n">
        <x:f>ABS(G187)</x:f>
        <x:v>1664.9638115139387</x:v>
      </x:c>
      <x:c r="J187" s="6" t="n">
        <x:f>ABS(H187)</x:f>
        <x:v>0.07265519465855463</x:v>
      </x:c>
      <x:c r="K187" s="5" t="n">
        <x:v>14319.560621507484</x:v>
      </x:c>
      <x:c r="L187" s="5" t="n">
        <x:f>K187-$D187</x:f>
        <x:v>-8596.403190006455</x:v>
      </x:c>
      <x:c r="M187" s="6" t="n">
        <x:f>L187/$D187</x:f>
        <x:v>-0.37512728073375917</x:v>
      </x:c>
      <x:c r="N187" s="5" t="n">
        <x:f>ABS(L187)</x:f>
        <x:v>8596.403190006455</x:v>
      </x:c>
      <x:c r="O187" s="6" t="n">
        <x:f>ABS(M187)</x:f>
        <x:v>0.37512728073375917</x:v>
      </x:c>
      <x:c r="P187" s="5" t="n">
        <x:v>17308.61955933956</x:v>
      </x:c>
      <x:c r="Q187" s="5" t="n">
        <x:f>P187-$D187</x:f>
        <x:v>-5607.344252174378</x:v>
      </x:c>
      <x:c r="R187" s="6" t="n">
        <x:f>Q187/$D187</x:f>
        <x:v>-0.24469161752459279</x:v>
      </x:c>
      <x:c r="S187" s="5" t="n">
        <x:f>ABS(Q187)</x:f>
        <x:v>5607.344252174378</x:v>
      </x:c>
      <x:c r="T187" s="6" t="n">
        <x:f>ABS(R187)</x:f>
        <x:v>0.24469161752459279</x:v>
      </x:c>
    </x:row>
    <x:row r="188">
      <x:c r="A188" s="4"/>
      <x:c r="B188" s="4" t="str">
        <x:v>Carangas</x:v>
      </x:c>
      <x:c r="C188" s="5" t="n">
        <x:v>840</x:v>
      </x:c>
      <x:c r="D188" s="5" t="n">
        <x:v>1048.5527363986946</x:v>
      </x:c>
      <x:c r="E188" s="5" t="n">
        <x:v>1129</x:v>
      </x:c>
      <x:c r="F188" s="5" t="n">
        <x:v>563</x:v>
      </x:c>
      <x:c r="G188" s="5" t="n">
        <x:f>F188-$D188</x:f>
        <x:v>-485.5527363986946</x:v>
      </x:c>
      <x:c r="H188" s="6" t="n">
        <x:f>G188/$D188</x:f>
        <x:v>-0.46306944757623647</x:v>
      </x:c>
      <x:c r="I188" s="5" t="n">
        <x:f>ABS(G188)</x:f>
        <x:v>485.5527363986946</x:v>
      </x:c>
      <x:c r="J188" s="6" t="n">
        <x:f>ABS(H188)</x:f>
        <x:v>0.46306944757623647</x:v>
      </x:c>
      <x:c r="K188" s="5" t="n">
        <x:v>1235.4140027807823</x:v>
      </x:c>
      <x:c r="L188" s="5" t="n">
        <x:f>K188-$D188</x:f>
        <x:v>186.8612663820877</x:v>
      </x:c>
      <x:c r="M188" s="6" t="n">
        <x:f>L188/$D188</x:f>
        <x:v>0.17820874420095628</x:v>
      </x:c>
      <x:c r="N188" s="5" t="n">
        <x:f>ABS(L188)</x:f>
        <x:v>186.8612663820877</x:v>
      </x:c>
      <x:c r="O188" s="6" t="n">
        <x:f>ABS(M188)</x:f>
        <x:v>0.17820874420095628</x:v>
      </x:c>
      <x:c r="P188" s="5" t="n">
        <x:v>670.1741238938412</x:v>
      </x:c>
      <x:c r="Q188" s="5" t="n">
        <x:f>P188-$D188</x:f>
        <x:v>-378.37861250485344</x:v>
      </x:c>
      <x:c r="R188" s="6" t="n">
        <x:f>Q188/$D188</x:f>
        <x:v>-0.3608579705818261</x:v>
      </x:c>
      <x:c r="S188" s="5" t="n">
        <x:f>ABS(Q188)</x:f>
        <x:v>378.37861250485344</x:v>
      </x:c>
      <x:c r="T188" s="6" t="n">
        <x:f>ABS(R188)</x:f>
        <x:v>0.3608579705818261</x:v>
      </x:c>
    </x:row>
    <x:row r="189">
      <x:c r="A189" s="4"/>
      <x:c r="B189" s="4" t="str">
        <x:v>Challapata</x:v>
      </x:c>
      <x:c r="C189" s="5" t="n">
        <x:v>28918</x:v>
      </x:c>
      <x:c r="D189" s="5" t="n">
        <x:v>33673.85568638569</x:v>
      </x:c>
      <x:c r="E189" s="5" t="n">
        <x:v>35427</x:v>
      </x:c>
      <x:c r="F189" s="5" t="n">
        <x:v>32762</x:v>
      </x:c>
      <x:c r="G189" s="5" t="n">
        <x:f>F189-$D189</x:f>
        <x:v>-911.8556863856866</x:v>
      </x:c>
      <x:c r="H189" s="6" t="n">
        <x:f>G189/$D189</x:f>
        <x:v>-0.027079040038600306</x:v>
      </x:c>
      <x:c r="I189" s="5" t="n">
        <x:f>ABS(G189)</x:f>
        <x:v>911.8556863856866</x:v>
      </x:c>
      <x:c r="J189" s="6" t="n">
        <x:f>ABS(H189)</x:f>
        <x:v>0.027079040038600306</x:v>
      </x:c>
      <x:c r="K189" s="5" t="n">
        <x:v>24682.38089807253</x:v>
      </x:c>
      <x:c r="L189" s="5" t="n">
        <x:f>K189-$D189</x:f>
        <x:v>-8991.474788313157</x:v>
      </x:c>
      <x:c r="M189" s="6" t="n">
        <x:f>L189/$D189</x:f>
        <x:v>-0.26701649113345827</x:v>
      </x:c>
      <x:c r="N189" s="5" t="n">
        <x:f>ABS(L189)</x:f>
        <x:v>8991.474788313157</x:v>
      </x:c>
      <x:c r="O189" s="6" t="n">
        <x:f>ABS(M189)</x:f>
        <x:v>0.26701649113345827</x:v>
      </x:c>
      <x:c r="P189" s="5" t="n">
        <x:v>21651.51761537997</x:v>
      </x:c>
      <x:c r="Q189" s="5" t="n">
        <x:f>P189-$D189</x:f>
        <x:v>-12022.338071005717</x:v>
      </x:c>
      <x:c r="R189" s="6" t="n">
        <x:f>Q189/$D189</x:f>
        <x:v>-0.35702291365067346</x:v>
      </x:c>
      <x:c r="S189" s="5" t="n">
        <x:f>ABS(Q189)</x:f>
        <x:v>12022.338071005717</x:v>
      </x:c>
      <x:c r="T189" s="6" t="n">
        <x:f>ABS(R189)</x:f>
        <x:v>0.35702291365067346</x:v>
      </x:c>
    </x:row>
    <x:row r="190">
      <x:c r="A190" s="4"/>
      <x:c r="B190" s="4" t="str">
        <x:v>Choquecota</x:v>
      </x:c>
      <x:c r="C190" s="5" t="n">
        <x:v>1850</x:v>
      </x:c>
      <x:c r="D190" s="5" t="n">
        <x:v>2321.4999331944464</x:v>
      </x:c>
      <x:c r="E190" s="5" t="n">
        <x:v>2504</x:v>
      </x:c>
      <x:c r="F190" s="5" t="n">
        <x:v>991</x:v>
      </x:c>
      <x:c r="G190" s="5" t="n">
        <x:f>F190-$D190</x:f>
        <x:v>-1330.4999331944464</x:v>
      </x:c>
      <x:c r="H190" s="6" t="n">
        <x:f>G190/$D190</x:f>
        <x:v>-0.5731208147672193</x:v>
      </x:c>
      <x:c r="I190" s="5" t="n">
        <x:f>ABS(G190)</x:f>
        <x:v>1330.4999331944464</x:v>
      </x:c>
      <x:c r="J190" s="6" t="n">
        <x:f>ABS(H190)</x:f>
        <x:v>0.5731208147672193</x:v>
      </x:c>
      <x:c r="K190" s="5" t="n">
        <x:v>2592.2223120989484</x:v>
      </x:c>
      <x:c r="L190" s="5" t="n">
        <x:f>K190-$D190</x:f>
        <x:v>270.72237890450197</x:v>
      </x:c>
      <x:c r="M190" s="6" t="n">
        <x:f>L190/$D190</x:f>
        <x:v>0.11661528610598781</x:v>
      </x:c>
      <x:c r="N190" s="5" t="n">
        <x:f>ABS(L190)</x:f>
        <x:v>270.72237890450197</x:v>
      </x:c>
      <x:c r="O190" s="6" t="n">
        <x:f>ABS(M190)</x:f>
        <x:v>0.11661528610598781</x:v>
      </x:c>
      <x:c r="P190" s="5" t="n">
        <x:v>1489.1147867537802</x:v>
      </x:c>
      <x:c r="Q190" s="5" t="n">
        <x:f>P190-$D190</x:f>
        <x:v>-832.3851464406662</x:v>
      </x:c>
      <x:c r="R190" s="6" t="n">
        <x:f>Q190/$D190</x:f>
        <x:v>-0.3585548870963273</x:v>
      </x:c>
      <x:c r="S190" s="5" t="n">
        <x:f>ABS(Q190)</x:f>
        <x:v>832.3851464406662</x:v>
      </x:c>
      <x:c r="T190" s="6" t="n">
        <x:f>ABS(R190)</x:f>
        <x:v>0.3585548870963273</x:v>
      </x:c>
    </x:row>
    <x:row r="191">
      <x:c r="A191" s="4"/>
      <x:c r="B191" s="4" t="str">
        <x:v>Coipasa</x:v>
      </x:c>
      <x:c r="C191" s="5" t="n">
        <x:v>903</x:v>
      </x:c>
      <x:c r="D191" s="5" t="n">
        <x:v>1258.6672381454187</x:v>
      </x:c>
      <x:c r="E191" s="5" t="n">
        <x:v>1406</x:v>
      </x:c>
      <x:c r="F191" s="5" t="n">
        <x:v>694</x:v>
      </x:c>
      <x:c r="G191" s="5" t="n">
        <x:f>F191-$D191</x:f>
        <x:v>-564.6672381454187</x:v>
      </x:c>
      <x:c r="H191" s="6" t="n">
        <x:f>G191/$D191</x:f>
        <x:v>-0.4486231317003426</x:v>
      </x:c>
      <x:c r="I191" s="5" t="n">
        <x:f>ABS(G191)</x:f>
        <x:v>564.6672381454187</x:v>
      </x:c>
      <x:c r="J191" s="6" t="n">
        <x:f>ABS(H191)</x:f>
        <x:v>0.4486231317003426</x:v>
      </x:c>
      <x:c r="K191" s="5" t="n">
        <x:v>832.5974947378335</x:v>
      </x:c>
      <x:c r="L191" s="5" t="n">
        <x:f>K191-$D191</x:f>
        <x:v>-426.0697434075852</x:v>
      </x:c>
      <x:c r="M191" s="6" t="n">
        <x:f>L191/$D191</x:f>
        <x:v>-0.3385086466820071</x:v>
      </x:c>
      <x:c r="N191" s="5" t="n">
        <x:f>ABS(L191)</x:f>
        <x:v>426.0697434075852</x:v>
      </x:c>
      <x:c r="O191" s="6" t="n">
        <x:f>ABS(M191)</x:f>
        <x:v>0.3385086466820071</x:v>
      </x:c>
      <x:c r="P191" s="5" t="n">
        <x:v>673.6269180341624</x:v>
      </x:c>
      <x:c r="Q191" s="5" t="n">
        <x:f>P191-$D191</x:f>
        <x:v>-585.0403201112563</x:v>
      </x:c>
      <x:c r="R191" s="6" t="n">
        <x:f>Q191/$D191</x:f>
        <x:v>-0.4648093653198466</x:v>
      </x:c>
      <x:c r="S191" s="5" t="n">
        <x:f>ABS(Q191)</x:f>
        <x:v>585.0403201112563</x:v>
      </x:c>
      <x:c r="T191" s="6" t="n">
        <x:f>ABS(R191)</x:f>
        <x:v>0.4648093653198466</x:v>
      </x:c>
    </x:row>
    <x:row r="192">
      <x:c r="A192" s="4"/>
      <x:c r="B192" s="4" t="str">
        <x:v>Corque</x:v>
      </x:c>
      <x:c r="C192" s="5" t="n">
        <x:v>9221</x:v>
      </x:c>
      <x:c r="D192" s="5" t="n">
        <x:v>14006.645692225793</x:v>
      </x:c>
      <x:c r="E192" s="5" t="n">
        <x:v>16101</x:v>
      </x:c>
      <x:c r="F192" s="5" t="n">
        <x:v>7776</x:v>
      </x:c>
      <x:c r="G192" s="5" t="n">
        <x:f>F192-$D192</x:f>
        <x:v>-6230.645692225793</x:v>
      </x:c>
      <x:c r="H192" s="6" t="n">
        <x:f>G192/$D192</x:f>
        <x:v>-0.44483496114162663</x:v>
      </x:c>
      <x:c r="I192" s="5" t="n">
        <x:f>ABS(G192)</x:f>
        <x:v>6230.645692225793</x:v>
      </x:c>
      <x:c r="J192" s="6" t="n">
        <x:f>ABS(H192)</x:f>
        <x:v>0.44483496114162663</x:v>
      </x:c>
      <x:c r="K192" s="5" t="n">
        <x:v>8911.363150571255</x:v>
      </x:c>
      <x:c r="L192" s="5" t="n">
        <x:f>K192-$D192</x:f>
        <x:v>-5095.282541654538</x:v>
      </x:c>
      <x:c r="M192" s="6" t="n">
        <x:f>L192/$D192</x:f>
        <x:v>-0.36377607127469563</x:v>
      </x:c>
      <x:c r="N192" s="5" t="n">
        <x:f>ABS(L192)</x:f>
        <x:v>5095.282541654538</x:v>
      </x:c>
      <x:c r="O192" s="6" t="n">
        <x:f>ABS(M192)</x:f>
        <x:v>0.36377607127469563</x:v>
      </x:c>
      <x:c r="P192" s="5" t="n">
        <x:v>7012.638928848901</x:v>
      </x:c>
      <x:c r="Q192" s="5" t="n">
        <x:f>P192-$D192</x:f>
        <x:v>-6994.006763376892</x:v>
      </x:c>
      <x:c r="R192" s="6" t="n">
        <x:f>Q192/$D192</x:f>
        <x:v>-0.4993348812456094</x:v>
      </x:c>
      <x:c r="S192" s="5" t="n">
        <x:f>ABS(Q192)</x:f>
        <x:v>6994.006763376892</x:v>
      </x:c>
      <x:c r="T192" s="6" t="n">
        <x:f>ABS(R192)</x:f>
        <x:v>0.4993348812456094</x:v>
      </x:c>
    </x:row>
    <x:row r="193">
      <x:c r="A193" s="4"/>
      <x:c r="B193" s="4" t="str">
        <x:v>Cruz de Machacamarca</x:v>
      </x:c>
      <x:c r="C193" s="5" t="n">
        <x:v>1967</x:v>
      </x:c>
      <x:c r="D193" s="5" t="n">
        <x:v>1618.78911539853</x:v>
      </x:c>
      <x:c r="E193" s="5" t="n">
        <x:v>1517</x:v>
      </x:c>
      <x:c r="F193" s="5" t="n">
        <x:v>538</x:v>
      </x:c>
      <x:c r="G193" s="5" t="n">
        <x:f>F193-$D193</x:f>
        <x:v>-1080.78911539853</x:v>
      </x:c>
      <x:c r="H193" s="6" t="n">
        <x:f>G193/$D193</x:f>
        <x:v>-0.667652818466382</x:v>
      </x:c>
      <x:c r="I193" s="5" t="n">
        <x:f>ABS(G193)</x:f>
        <x:v>1080.78911539853</x:v>
      </x:c>
      <x:c r="J193" s="6" t="n">
        <x:f>ABS(H193)</x:f>
        <x:v>0.667652818466382</x:v>
      </x:c>
      <x:c r="K193" s="5" t="n">
        <x:v>3008.4737077730883</x:v>
      </x:c>
      <x:c r="L193" s="5" t="n">
        <x:f>K193-$D193</x:f>
        <x:v>1389.6845923745584</x:v>
      </x:c>
      <x:c r="M193" s="6" t="n">
        <x:f>L193/$D193</x:f>
        <x:v>0.8584716682088832</x:v>
      </x:c>
      <x:c r="N193" s="5" t="n">
        <x:f>ABS(L193)</x:f>
        <x:v>1389.6845923745584</x:v>
      </x:c>
      <x:c r="O193" s="6" t="n">
        <x:f>ABS(M193)</x:f>
        <x:v>0.8584716682088832</x:v>
      </x:c>
      <x:c r="P193" s="5" t="n">
        <x:v>1510.0047639586846</x:v>
      </x:c>
      <x:c r="Q193" s="5" t="n">
        <x:f>P193-$D193</x:f>
        <x:v>-108.7843514398453</x:v>
      </x:c>
      <x:c r="R193" s="6" t="n">
        <x:f>Q193/$D193</x:f>
        <x:v>-0.06720106430482371</x:v>
      </x:c>
      <x:c r="S193" s="5" t="n">
        <x:f>ABS(Q193)</x:f>
        <x:v>108.7843514398453</x:v>
      </x:c>
      <x:c r="T193" s="6" t="n">
        <x:f>ABS(R193)</x:f>
        <x:v>0.06720106430482371</x:v>
      </x:c>
    </x:row>
    <x:row r="194">
      <x:c r="A194" s="4"/>
      <x:c r="B194" s="4" t="str">
        <x:v>Curahuara de Carangas</x:v>
      </x:c>
      <x:c r="C194" s="5" t="n">
        <x:v>4184</x:v>
      </x:c>
      <x:c r="D194" s="5" t="n">
        <x:v>5944.653077428496</x:v>
      </x:c>
      <x:c r="E194" s="5" t="n">
        <x:v>6683</x:v>
      </x:c>
      <x:c r="F194" s="5" t="n">
        <x:v>4307</x:v>
      </x:c>
      <x:c r="G194" s="5" t="n">
        <x:f>F194-$D194</x:f>
        <x:v>-1637.6530774284956</x:v>
      </x:c>
      <x:c r="H194" s="6" t="n">
        <x:f>G194/$D194</x:f>
        <x:v>-0.2754833723849369</x:v>
      </x:c>
      <x:c r="I194" s="5" t="n">
        <x:f>ABS(G194)</x:f>
        <x:v>1637.6530774284956</x:v>
      </x:c>
      <x:c r="J194" s="6" t="n">
        <x:f>ABS(H194)</x:f>
        <x:v>0.2754833723849369</x:v>
      </x:c>
      <x:c r="K194" s="5" t="n">
        <x:v>4365.946918839155</x:v>
      </x:c>
      <x:c r="L194" s="5" t="n">
        <x:f>K194-$D194</x:f>
        <x:v>-1578.7061585893407</x:v>
      </x:c>
      <x:c r="M194" s="6" t="n">
        <x:f>L194/$D194</x:f>
        <x:v>-0.265567416302828</x:v>
      </x:c>
      <x:c r="N194" s="5" t="n">
        <x:f>ABS(L194)</x:f>
        <x:v>1578.7061585893407</x:v>
      </x:c>
      <x:c r="O194" s="6" t="n">
        <x:f>ABS(M194)</x:f>
        <x:v>0.265567416302828</x:v>
      </x:c>
      <x:c r="P194" s="5" t="n">
        <x:v>3636.677294104338</x:v>
      </x:c>
      <x:c r="Q194" s="5" t="n">
        <x:f>P194-$D194</x:f>
        <x:v>-2307.9757833241574</x:v>
      </x:c>
      <x:c r="R194" s="6" t="n">
        <x:f>Q194/$D194</x:f>
        <x:v>-0.3882439821572445</x:v>
      </x:c>
      <x:c r="S194" s="5" t="n">
        <x:f>ABS(Q194)</x:f>
        <x:v>2307.9757833241574</x:v>
      </x:c>
      <x:c r="T194" s="6" t="n">
        <x:f>ABS(R194)</x:f>
        <x:v>0.3882439821572445</x:v>
      </x:c>
    </x:row>
    <x:row r="195">
      <x:c r="A195" s="4"/>
      <x:c r="B195" s="4" t="str">
        <x:v>El Choro</x:v>
      </x:c>
      <x:c r="C195" s="5" t="n">
        <x:v>8725</x:v>
      </x:c>
      <x:c r="D195" s="5" t="n">
        <x:v>9662.591688838313</x:v>
      </x:c>
      <x:c r="E195" s="5" t="n">
        <x:v>9997</x:v>
      </x:c>
      <x:c r="F195" s="5" t="n">
        <x:v>3534</x:v>
      </x:c>
      <x:c r="G195" s="5" t="n">
        <x:f>F195-$D195</x:f>
        <x:v>-6128.591688838313</x:v>
      </x:c>
      <x:c r="H195" s="6" t="n">
        <x:f>G195/$D195</x:f>
        <x:v>-0.6342596154526244</x:v>
      </x:c>
      <x:c r="I195" s="5" t="n">
        <x:f>ABS(G195)</x:f>
        <x:v>6128.591688838313</x:v>
      </x:c>
      <x:c r="J195" s="6" t="n">
        <x:f>ABS(H195)</x:f>
        <x:v>0.6342596154526244</x:v>
      </x:c>
      <x:c r="K195" s="5" t="n">
        <x:v>5868.549741887114</x:v>
      </x:c>
      <x:c r="L195" s="5" t="n">
        <x:f>K195-$D195</x:f>
        <x:v>-3794.041946951199</x:v>
      </x:c>
      <x:c r="M195" s="6" t="n">
        <x:f>L195/$D195</x:f>
        <x:v>-0.39265262044901106</x:v>
      </x:c>
      <x:c r="N195" s="5" t="n">
        <x:f>ABS(L195)</x:f>
        <x:v>3794.041946951199</x:v>
      </x:c>
      <x:c r="O195" s="6" t="n">
        <x:f>ABS(M195)</x:f>
        <x:v>0.39265262044901106</x:v>
      </x:c>
      <x:c r="P195" s="5" t="n">
        <x:v>6100.149401964547</x:v>
      </x:c>
      <x:c r="Q195" s="5" t="n">
        <x:f>P195-$D195</x:f>
        <x:v>-3562.4422868737656</x:v>
      </x:c>
      <x:c r="R195" s="6" t="n">
        <x:f>Q195/$D195</x:f>
        <x:v>-0.368683930936345</x:v>
      </x:c>
      <x:c r="S195" s="5" t="n">
        <x:f>ABS(Q195)</x:f>
        <x:v>3562.4422868737656</x:v>
      </x:c>
      <x:c r="T195" s="6" t="n">
        <x:f>ABS(R195)</x:f>
        <x:v>0.368683930936345</x:v>
      </x:c>
    </x:row>
    <x:row r="196">
      <x:c r="A196" s="4"/>
      <x:c r="B196" s="4" t="str">
        <x:v>Escara</x:v>
      </x:c>
      <x:c r="C196" s="5" t="n">
        <x:v>4223</x:v>
      </x:c>
      <x:c r="D196" s="5" t="n">
        <x:v>4228.99858032937</x:v>
      </x:c>
      <x:c r="E196" s="5" t="n">
        <x:v>4231</x:v>
      </x:c>
      <x:c r="F196" s="5" t="n">
        <x:v>1446</x:v>
      </x:c>
      <x:c r="G196" s="5" t="n">
        <x:f>F196-$D196</x:f>
        <x:v>-2782.9985803293703</x:v>
      </x:c>
      <x:c r="H196" s="6" t="n">
        <x:f>G196/$D196</x:f>
        <x:v>-0.6580750802977616</x:v>
      </x:c>
      <x:c r="I196" s="5" t="n">
        <x:f>ABS(G196)</x:f>
        <x:v>2782.9985803293703</x:v>
      </x:c>
      <x:c r="J196" s="6" t="n">
        <x:f>ABS(H196)</x:f>
        <x:v>0.6580750802977616</x:v>
      </x:c>
      <x:c r="K196" s="5" t="n">
        <x:v>5169.665645176315</x:v>
      </x:c>
      <x:c r="L196" s="5" t="n">
        <x:f>K196-$D196</x:f>
        <x:v>940.6670648469444</x:v>
      </x:c>
      <x:c r="M196" s="6" t="n">
        <x:f>L196/$D196</x:f>
        <x:v>0.22243257995458626</x:v>
      </x:c>
      <x:c r="N196" s="5" t="n">
        <x:f>ABS(L196)</x:f>
        <x:v>940.6670648469444</x:v>
      </x:c>
      <x:c r="O196" s="6" t="n">
        <x:f>ABS(M196)</x:f>
        <x:v>0.22243257995458626</x:v>
      </x:c>
      <x:c r="P196" s="5" t="n">
        <x:v>3295.606178285234</x:v>
      </x:c>
      <x:c r="Q196" s="5" t="n">
        <x:f>P196-$D196</x:f>
        <x:v>-933.3924020441364</x:v>
      </x:c>
      <x:c r="R196" s="6" t="n">
        <x:f>Q196/$D196</x:f>
        <x:v>-0.22071239427359662</x:v>
      </x:c>
      <x:c r="S196" s="5" t="n">
        <x:f>ABS(Q196)</x:f>
        <x:v>933.3924020441364</x:v>
      </x:c>
      <x:c r="T196" s="6" t="n">
        <x:f>ABS(R196)</x:f>
        <x:v>0.22071239427359662</x:v>
      </x:c>
    </x:row>
    <x:row r="197">
      <x:c r="A197" s="4"/>
      <x:c r="B197" s="4" t="str">
        <x:v>Esmeralda</x:v>
      </x:c>
      <x:c r="C197" s="5" t="n">
        <x:v>2702</x:v>
      </x:c>
      <x:c r="D197" s="5" t="n">
        <x:v>3545.789784431851</x:v>
      </x:c>
      <x:c r="E197" s="5" t="n">
        <x:v>3882</x:v>
      </x:c>
      <x:c r="F197" s="5" t="n">
        <x:v>1088</x:v>
      </x:c>
      <x:c r="G197" s="5" t="n">
        <x:f>F197-$D197</x:f>
        <x:v>-2457.789784431851</x:v>
      </x:c>
      <x:c r="H197" s="6" t="n">
        <x:f>G197/$D197</x:f>
        <x:v>-0.6931572185195597</x:v>
      </x:c>
      <x:c r="I197" s="5" t="n">
        <x:f>ABS(G197)</x:f>
        <x:v>2457.789784431851</x:v>
      </x:c>
      <x:c r="J197" s="6" t="n">
        <x:f>ABS(H197)</x:f>
        <x:v>0.6931572185195597</x:v>
      </x:c>
      <x:c r="K197" s="5" t="n">
        <x:v>2861.1998042019086</x:v>
      </x:c>
      <x:c r="L197" s="5" t="n">
        <x:f>K197-$D197</x:f>
        <x:v>-684.5899802299423</x:v>
      </x:c>
      <x:c r="M197" s="6" t="n">
        <x:f>L197/$D197</x:f>
        <x:v>-0.19307122583400288</x:v>
      </x:c>
      <x:c r="N197" s="5" t="n">
        <x:f>ABS(L197)</x:f>
        <x:v>684.5899802299423</x:v>
      </x:c>
      <x:c r="O197" s="6" t="n">
        <x:f>ABS(M197)</x:f>
        <x:v>0.19307122583400288</x:v>
      </x:c>
      <x:c r="P197" s="5" t="n">
        <x:v>2023.42425366104</x:v>
      </x:c>
      <x:c r="Q197" s="5" t="n">
        <x:f>P197-$D197</x:f>
        <x:v>-1522.365530770811</x:v>
      </x:c>
      <x:c r="R197" s="6" t="n">
        <x:f>Q197/$D197</x:f>
        <x:v>-0.4293445532092486</x:v>
      </x:c>
      <x:c r="S197" s="5" t="n">
        <x:f>ABS(Q197)</x:f>
        <x:v>1522.365530770811</x:v>
      </x:c>
      <x:c r="T197" s="6" t="n">
        <x:f>ABS(R197)</x:f>
        <x:v>0.4293445532092486</x:v>
      </x:c>
    </x:row>
    <x:row r="198">
      <x:c r="A198" s="4"/>
      <x:c r="B198" s="4" t="str">
        <x:v>Eucaliptus</x:v>
      </x:c>
      <x:c r="C198" s="5" t="n">
        <x:v>5267</x:v>
      </x:c>
      <x:c r="D198" s="5" t="n">
        <x:v>5317.918134645575</x:v>
      </x:c>
      <x:c r="E198" s="5" t="n">
        <x:v>5335</x:v>
      </x:c>
      <x:c r="F198" s="5" t="n">
        <x:v>5172</x:v>
      </x:c>
      <x:c r="G198" s="5" t="n">
        <x:f>F198-$D198</x:f>
        <x:v>-145.91813464557526</x:v>
      </x:c>
      <x:c r="H198" s="6" t="n">
        <x:f>G198/$D198</x:f>
        <x:v>-0.02743895843280038</x:v>
      </x:c>
      <x:c r="I198" s="5" t="n">
        <x:f>ABS(G198)</x:f>
        <x:v>145.91813464557526</x:v>
      </x:c>
      <x:c r="J198" s="6" t="n">
        <x:f>ABS(H198)</x:f>
        <x:v>0.02743895843280038</x:v>
      </x:c>
      <x:c r="K198" s="5" t="n">
        <x:v>7679.059116826733</x:v>
      </x:c>
      <x:c r="L198" s="5" t="n">
        <x:f>K198-$D198</x:f>
        <x:v>2361.1409821811576</x:v>
      </x:c>
      <x:c r="M198" s="6" t="n">
        <x:f>L198/$D198</x:f>
        <x:v>0.44399724147662556</x:v>
      </x:c>
      <x:c r="N198" s="5" t="n">
        <x:f>ABS(L198)</x:f>
        <x:v>2361.1409821811576</x:v>
      </x:c>
      <x:c r="O198" s="6" t="n">
        <x:f>ABS(M198)</x:f>
        <x:v>0.44399724147662556</x:v>
      </x:c>
      <x:c r="P198" s="5" t="n">
        <x:v>4011.25373625875</x:v>
      </x:c>
      <x:c r="Q198" s="5" t="n">
        <x:f>P198-$D198</x:f>
        <x:v>-1306.6643983868253</x:v>
      </x:c>
      <x:c r="R198" s="6" t="n">
        <x:f>Q198/$D198</x:f>
        <x:v>-0.24570976184722912</x:v>
      </x:c>
      <x:c r="S198" s="5" t="n">
        <x:f>ABS(Q198)</x:f>
        <x:v>1306.6643983868253</x:v>
      </x:c>
      <x:c r="T198" s="6" t="n">
        <x:f>ABS(R198)</x:f>
        <x:v>0.24570976184722912</x:v>
      </x:c>
    </x:row>
    <x:row r="199">
      <x:c r="A199" s="4"/>
      <x:c r="B199" s="4" t="str">
        <x:v>Huachacalla</x:v>
      </x:c>
      <x:c r="C199" s="5" t="n">
        <x:v>1003</x:v>
      </x:c>
      <x:c r="D199" s="5" t="n">
        <x:v>2836.382059509577</x:v>
      </x:c>
      <x:c r="E199" s="5" t="n">
        <x:v>4011</x:v>
      </x:c>
      <x:c r="F199" s="5" t="n">
        <x:v>1492</x:v>
      </x:c>
      <x:c r="G199" s="5" t="n">
        <x:f>F199-$D199</x:f>
        <x:v>-1344.3820595095772</x:v>
      </x:c>
      <x:c r="H199" s="6" t="n">
        <x:f>G199/$D199</x:f>
        <x:v>-0.47397777566750887</x:v>
      </x:c>
      <x:c r="I199" s="5" t="n">
        <x:f>ABS(G199)</x:f>
        <x:v>1344.3820595095772</x:v>
      </x:c>
      <x:c r="J199" s="6" t="n">
        <x:f>ABS(H199)</x:f>
        <x:v>0.47397777566750887</x:v>
      </x:c>
      <x:c r="K199" s="5" t="n">
        <x:v>1008.4568805789312</x:v>
      </x:c>
      <x:c r="L199" s="5" t="n">
        <x:f>K199-$D199</x:f>
        <x:v>-1827.9251789306459</x:v>
      </x:c>
      <x:c r="M199" s="6" t="n">
        <x:f>L199/$D199</x:f>
        <x:v>-0.6444566142992394</x:v>
      </x:c>
      <x:c r="N199" s="5" t="n">
        <x:f>ABS(L199)</x:f>
        <x:v>1827.9251789306459</x:v>
      </x:c>
      <x:c r="O199" s="6" t="n">
        <x:f>ABS(M199)</x:f>
        <x:v>0.6444566142992394</x:v>
      </x:c>
      <x:c r="P199" s="5" t="n">
        <x:v>744.3542193591711</x:v>
      </x:c>
      <x:c r="Q199" s="5" t="n">
        <x:f>P199-$D199</x:f>
        <x:v>-2092.027840150406</x:v>
      </x:c>
      <x:c r="R199" s="6" t="n">
        <x:f>Q199/$D199</x:f>
        <x:v>-0.7375691272395535</x:v>
      </x:c>
      <x:c r="S199" s="5" t="n">
        <x:f>ABS(Q199)</x:f>
        <x:v>2092.027840150406</x:v>
      </x:c>
      <x:c r="T199" s="6" t="n">
        <x:f>ABS(R199)</x:f>
        <x:v>0.7375691272395535</x:v>
      </x:c>
    </x:row>
    <x:row r="200">
      <x:c r="A200" s="4"/>
      <x:c r="B200" s="4" t="str">
        <x:v>Huanuni</x:v>
      </x:c>
      <x:c r="C200" s="5" t="n">
        <x:v>24677</x:v>
      </x:c>
      <x:c r="D200" s="5" t="n">
        <x:v>21171.990630790904</x:v>
      </x:c>
      <x:c r="E200" s="5" t="n">
        <x:v>20118</x:v>
      </x:c>
      <x:c r="F200" s="5" t="n">
        <x:v>25683</x:v>
      </x:c>
      <x:c r="G200" s="5" t="n">
        <x:f>F200-$D200</x:f>
        <x:v>4511.009369209096</x:v>
      </x:c>
      <x:c r="H200" s="6" t="n">
        <x:f>G200/$D200</x:f>
        <x:v>0.21306496152745472</x:v>
      </x:c>
      <x:c r="I200" s="5" t="n">
        <x:f>ABS(G200)</x:f>
        <x:v>4511.009369209096</x:v>
      </x:c>
      <x:c r="J200" s="6" t="n">
        <x:f>ABS(H200)</x:f>
        <x:v>0.21306496152745472</x:v>
      </x:c>
      <x:c r="K200" s="5" t="n">
        <x:v>25591.51275465262</x:v>
      </x:c>
      <x:c r="L200" s="5" t="n">
        <x:f>K200-$D200</x:f>
        <x:v>4419.522123861716</x:v>
      </x:c>
      <x:c r="M200" s="6" t="n">
        <x:f>L200/$D200</x:f>
        <x:v>0.20874381634357542</x:v>
      </x:c>
      <x:c r="N200" s="5" t="n">
        <x:f>ABS(L200)</x:f>
        <x:v>4419.522123861716</x:v>
      </x:c>
      <x:c r="O200" s="6" t="n">
        <x:f>ABS(M200)</x:f>
        <x:v>0.20874381634357542</x:v>
      </x:c>
      <x:c r="P200" s="5" t="n">
        <x:v>20797.55991747453</x:v>
      </x:c>
      <x:c r="Q200" s="5" t="n">
        <x:f>P200-$D200</x:f>
        <x:v>-374.43071331637475</x:v>
      </x:c>
      <x:c r="R200" s="6" t="n">
        <x:f>Q200/$D200</x:f>
        <x:v>-0.01768519171606999</x:v>
      </x:c>
      <x:c r="S200" s="5" t="n">
        <x:f>ABS(Q200)</x:f>
        <x:v>374.43071331637475</x:v>
      </x:c>
      <x:c r="T200" s="6" t="n">
        <x:f>ABS(R200)</x:f>
        <x:v>0.01768519171606999</x:v>
      </x:c>
    </x:row>
    <x:row r="201">
      <x:c r="A201" s="4"/>
      <x:c r="B201" s="4" t="str">
        <x:v>La Rivera</x:v>
      </x:c>
      <x:c r="C201" s="5" t="n">
        <x:v>509</x:v>
      </x:c>
      <x:c r="D201" s="5" t="n">
        <x:v>1005.7127634328295</x:v>
      </x:c>
      <x:c r="E201" s="5" t="n">
        <x:v>1262</x:v>
      </x:c>
      <x:c r="F201" s="5" t="n">
        <x:v>383</x:v>
      </x:c>
      <x:c r="G201" s="5" t="n">
        <x:f>F201-$D201</x:f>
        <x:v>-622.7127634328295</x:v>
      </x:c>
      <x:c r="H201" s="6" t="n">
        <x:f>G201/$D201</x:f>
        <x:v>-0.6191755599355281</x:v>
      </x:c>
      <x:c r="I201" s="5" t="n">
        <x:f>ABS(G201)</x:f>
        <x:v>622.7127634328295</x:v>
      </x:c>
      <x:c r="J201" s="6" t="n">
        <x:f>ABS(H201)</x:f>
        <x:v>0.6191755599355281</x:v>
      </x:c>
      <x:c r="K201" s="5" t="n">
        <x:v>831.7751635007869</x:v>
      </x:c>
      <x:c r="L201" s="5" t="n">
        <x:f>K201-$D201</x:f>
        <x:v>-173.93759993204264</x:v>
      </x:c>
      <x:c r="M201" s="6" t="n">
        <x:f>L201/$D201</x:f>
        <x:v>-0.1729495798962879</x:v>
      </x:c>
      <x:c r="N201" s="5" t="n">
        <x:f>ABS(L201)</x:f>
        <x:v>173.93759993204264</x:v>
      </x:c>
      <x:c r="O201" s="6" t="n">
        <x:f>ABS(M201)</x:f>
        <x:v>0.1729495798962879</x:v>
      </x:c>
      <x:c r="P201" s="5" t="n">
        <x:v>392.580248686616</x:v>
      </x:c>
      <x:c r="Q201" s="5" t="n">
        <x:f>P201-$D201</x:f>
        <x:v>-613.1325147462135</x:v>
      </x:c>
      <x:c r="R201" s="6" t="n">
        <x:f>Q201/$D201</x:f>
        <x:v>-0.6096497300614838</x:v>
      </x:c>
      <x:c r="S201" s="5" t="n">
        <x:f>ABS(Q201)</x:f>
        <x:v>613.1325147462135</x:v>
      </x:c>
      <x:c r="T201" s="6" t="n">
        <x:f>ABS(R201)</x:f>
        <x:v>0.6096497300614838</x:v>
      </x:c>
    </x:row>
    <x:row r="202">
      <x:c r="A202" s="4"/>
      <x:c r="B202" s="4" t="str">
        <x:v>Machacamarca</x:v>
      </x:c>
      <x:c r="C202" s="5" t="n">
        <x:v>4820</x:v>
      </x:c>
      <x:c r="D202" s="5" t="n">
        <x:v>5765.34533780794</x:v>
      </x:c>
      <x:c r="E202" s="5" t="n">
        <x:v>6120</x:v>
      </x:c>
      <x:c r="F202" s="5" t="n">
        <x:v>5685</x:v>
      </x:c>
      <x:c r="G202" s="5" t="n">
        <x:f>F202-$D202</x:f>
        <x:v>-80.34533780794027</x:v>
      </x:c>
      <x:c r="H202" s="6" t="n">
        <x:f>G202/$D202</x:f>
        <x:v>-0.013935910704438151</x:v>
      </x:c>
      <x:c r="I202" s="5" t="n">
        <x:f>ABS(G202)</x:f>
        <x:v>80.34533780794027</x:v>
      </x:c>
      <x:c r="J202" s="6" t="n">
        <x:f>ABS(H202)</x:f>
        <x:v>0.013935910704438151</x:v>
      </x:c>
      <x:c r="K202" s="5" t="n">
        <x:v>5208.69019722027</x:v>
      </x:c>
      <x:c r="L202" s="5" t="n">
        <x:f>K202-$D202</x:f>
        <x:v>-556.6551405876698</x:v>
      </x:c>
      <x:c r="M202" s="6" t="n">
        <x:f>L202/$D202</x:f>
        <x:v>-0.09655191631579131</x:v>
      </x:c>
      <x:c r="N202" s="5" t="n">
        <x:f>ABS(L202)</x:f>
        <x:v>556.6551405876698</x:v>
      </x:c>
      <x:c r="O202" s="6" t="n">
        <x:f>ABS(M202)</x:f>
        <x:v>0.09655191631579131</x:v>
      </x:c>
      <x:c r="P202" s="5" t="n">
        <x:v>3741.022903866825</x:v>
      </x:c>
      <x:c r="Q202" s="5" t="n">
        <x:f>P202-$D202</x:f>
        <x:v>-2024.3224339411154</x:v>
      </x:c>
      <x:c r="R202" s="6" t="n">
        <x:f>Q202/$D202</x:f>
        <x:v>-0.35111902502457715</x:v>
      </x:c>
      <x:c r="S202" s="5" t="n">
        <x:f>ABS(Q202)</x:f>
        <x:v>2024.3224339411154</x:v>
      </x:c>
      <x:c r="T202" s="6" t="n">
        <x:f>ABS(R202)</x:f>
        <x:v>0.35111902502457715</x:v>
      </x:c>
    </x:row>
    <x:row r="203">
      <x:c r="A203" s="4"/>
      <x:c r="B203" s="4" t="str">
        <x:v>Oruro</x:v>
      </x:c>
      <x:c r="C203" s="5" t="n">
        <x:v>264943</x:v>
      </x:c>
      <x:c r="D203" s="5" t="n">
        <x:v>289622.7307539047</x:v>
      </x:c>
      <x:c r="E203" s="5" t="n">
        <x:v>298350</x:v>
      </x:c>
      <x:c r="F203" s="5" t="n">
        <x:v>345802</x:v>
      </x:c>
      <x:c r="G203" s="5" t="n">
        <x:f>F203-$D203</x:f>
        <x:v>56179.269246095326</x:v>
      </x:c>
      <x:c r="H203" s="6" t="n">
        <x:f>G203/$D203</x:f>
        <x:v>0.19397396433580144</x:v>
      </x:c>
      <x:c r="I203" s="5" t="n">
        <x:f>ABS(G203)</x:f>
        <x:v>56179.269246095326</x:v>
      </x:c>
      <x:c r="J203" s="6" t="n">
        <x:f>ABS(H203)</x:f>
        <x:v>0.19397396433580144</x:v>
      </x:c>
      <x:c r="K203" s="5" t="n">
        <x:v>328543.900498723</x:v>
      </x:c>
      <x:c r="L203" s="5" t="n">
        <x:f>K203-$D203</x:f>
        <x:v>38921.1697448183</x:v>
      </x:c>
      <x:c r="M203" s="6" t="n">
        <x:f>L203/$D203</x:f>
        <x:v>0.13438575640628844</x:v>
      </x:c>
      <x:c r="N203" s="5" t="n">
        <x:f>ABS(L203)</x:f>
        <x:v>38921.1697448183</x:v>
      </x:c>
      <x:c r="O203" s="6" t="n">
        <x:f>ABS(M203)</x:f>
        <x:v>0.13438575640628844</x:v>
      </x:c>
      <x:c r="P203" s="5" t="n">
        <x:v>201194.47093672253</x:v>
      </x:c>
      <x:c r="Q203" s="5" t="n">
        <x:f>P203-$D203</x:f>
        <x:v>-88428.25981718214</x:v>
      </x:c>
      <x:c r="R203" s="6" t="n">
        <x:f>Q203/$D203</x:f>
        <x:v>-0.30532223623124566</x:v>
      </x:c>
      <x:c r="S203" s="5" t="n">
        <x:f>ABS(Q203)</x:f>
        <x:v>88428.25981718214</x:v>
      </x:c>
      <x:c r="T203" s="6" t="n">
        <x:f>ABS(R203)</x:f>
        <x:v>0.30532223623124566</x:v>
      </x:c>
    </x:row>
    <x:row r="204">
      <x:c r="A204" s="4"/>
      <x:c r="B204" s="4" t="str">
        <x:v>Pampa Aullagas</x:v>
      </x:c>
      <x:c r="C204" s="5" t="n">
        <x:v>2973</x:v>
      </x:c>
      <x:c r="D204" s="5" t="n">
        <x:v>3139.465424846251</x:v>
      </x:c>
      <x:c r="E204" s="5" t="n">
        <x:v>3197</x:v>
      </x:c>
      <x:c r="F204" s="5" t="n">
        <x:v>3064</x:v>
      </x:c>
      <x:c r="G204" s="5" t="n">
        <x:f>F204-$D204</x:f>
        <x:v>-75.46542484625115</x:v>
      </x:c>
      <x:c r="H204" s="6" t="n">
        <x:f>G204/$D204</x:f>
        <x:v>-0.0240376671292524</x:v>
      </x:c>
      <x:c r="I204" s="5" t="n">
        <x:f>ABS(G204)</x:f>
        <x:v>75.46542484625115</x:v>
      </x:c>
      <x:c r="J204" s="6" t="n">
        <x:f>ABS(H204)</x:f>
        <x:v>0.0240376671292524</x:v>
      </x:c>
      <x:c r="K204" s="5" t="n">
        <x:v>3134.76684019514</x:v>
      </x:c>
      <x:c r="L204" s="5" t="n">
        <x:f>K204-$D204</x:f>
        <x:v>-4.698584651111105</x:v>
      </x:c>
      <x:c r="M204" s="6" t="n">
        <x:f>L204/$D204</x:f>
        <x:v>-0.001496619333318891</x:v>
      </x:c>
      <x:c r="N204" s="5" t="n">
        <x:f>ABS(L204)</x:f>
        <x:v>4.698584651111105</x:v>
      </x:c>
      <x:c r="O204" s="6" t="n">
        <x:f>ABS(M204)</x:f>
        <x:v>0.001496619333318891</x:v>
      </x:c>
      <x:c r="P204" s="5" t="n">
        <x:v>2260.9672651418805</x:v>
      </x:c>
      <x:c r="Q204" s="5" t="n">
        <x:f>P204-$D204</x:f>
        <x:v>-878.4981597043707</x:v>
      </x:c>
      <x:c r="R204" s="6" t="n">
        <x:f>Q204/$D204</x:f>
        <x:v>-0.2798241231617938</x:v>
      </x:c>
      <x:c r="S204" s="5" t="n">
        <x:f>ABS(Q204)</x:f>
        <x:v>878.4981597043707</x:v>
      </x:c>
      <x:c r="T204" s="6" t="n">
        <x:f>ABS(R204)</x:f>
        <x:v>0.2798241231617938</x:v>
      </x:c>
    </x:row>
    <x:row r="205">
      <x:c r="A205" s="4"/>
      <x:c r="B205" s="4" t="str">
        <x:v>Paria</x:v>
      </x:c>
      <x:c r="C205" s="5" t="n">
        <x:v>12846</x:v>
      </x:c>
      <x:c r="D205" s="5" t="n">
        <x:v>14977.585210722536</x:v>
      </x:c>
      <x:c r="E205" s="5" t="n">
        <x:v>15764</x:v>
      </x:c>
      <x:c r="F205" s="5" t="n">
        <x:v>12074</x:v>
      </x:c>
      <x:c r="G205" s="5" t="n">
        <x:f>F205-$D205</x:f>
        <x:v>-2903.5852107225364</x:v>
      </x:c>
      <x:c r="H205" s="6" t="n">
        <x:f>G205/$D205</x:f>
        <x:v>-0.19386203916528838</x:v>
      </x:c>
      <x:c r="I205" s="5" t="n">
        <x:f>ABS(G205)</x:f>
        <x:v>2903.5852107225364</x:v>
      </x:c>
      <x:c r="J205" s="6" t="n">
        <x:f>ABS(H205)</x:f>
        <x:v>0.19386203916528838</x:v>
      </x:c>
      <x:c r="K205" s="5" t="n">
        <x:v>12935.798257132314</x:v>
      </x:c>
      <x:c r="L205" s="5" t="n">
        <x:f>K205-$D205</x:f>
        <x:v>-2041.7869535902228</x:v>
      </x:c>
      <x:c r="M205" s="6" t="n">
        <x:f>L205/$D205</x:f>
        <x:v>-0.13632284008830048</x:v>
      </x:c>
      <x:c r="N205" s="5" t="n">
        <x:f>ABS(L205)</x:f>
        <x:v>2041.7869535902228</x:v>
      </x:c>
      <x:c r="O205" s="6" t="n">
        <x:f>ABS(M205)</x:f>
        <x:v>0.13632284008830048</x:v>
      </x:c>
      <x:c r="P205" s="5" t="n">
        <x:v>10301.15037139488</x:v>
      </x:c>
      <x:c r="Q205" s="5" t="n">
        <x:f>P205-$D205</x:f>
        <x:v>-4676.434839327656</x:v>
      </x:c>
      <x:c r="R205" s="6" t="n">
        <x:f>Q205/$D205</x:f>
        <x:v>-0.31222889227695866</x:v>
      </x:c>
      <x:c r="S205" s="5" t="n">
        <x:f>ABS(Q205)</x:f>
        <x:v>4676.434839327656</x:v>
      </x:c>
      <x:c r="T205" s="6" t="n">
        <x:f>ABS(R205)</x:f>
        <x:v>0.31222889227695866</x:v>
      </x:c>
    </x:row>
    <x:row r="206">
      <x:c r="A206" s="4"/>
      <x:c r="B206" s="4" t="str">
        <x:v>Pazña</x:v>
      </x:c>
      <x:c r="C206" s="5" t="n">
        <x:v>5955</x:v>
      </x:c>
      <x:c r="D206" s="5" t="n">
        <x:v>4624.755421527973</x:v>
      </x:c>
      <x:c r="E206" s="5" t="n">
        <x:v>4251</x:v>
      </x:c>
      <x:c r="F206" s="5" t="n">
        <x:v>5499</x:v>
      </x:c>
      <x:c r="G206" s="5" t="n">
        <x:f>F206-$D206</x:f>
        <x:v>874.2445784720267</x:v>
      </x:c>
      <x:c r="H206" s="6" t="n">
        <x:f>G206/$D206</x:f>
        <x:v>0.1890358513668567</x:v>
      </x:c>
      <x:c r="I206" s="5" t="n">
        <x:f>ABS(G206)</x:f>
        <x:v>874.2445784720267</x:v>
      </x:c>
      <x:c r="J206" s="6" t="n">
        <x:f>ABS(H206)</x:f>
        <x:v>0.1890358513668567</x:v>
      </x:c>
      <x:c r="K206" s="5" t="n">
        <x:v>6973.374171704266</x:v>
      </x:c>
      <x:c r="L206" s="5" t="n">
        <x:f>K206-$D206</x:f>
        <x:v>2348.6187501762925</x:v>
      </x:c>
      <x:c r="M206" s="6" t="n">
        <x:f>L206/$D206</x:f>
        <x:v>0.5078363148121533</x:v>
      </x:c>
      <x:c r="N206" s="5" t="n">
        <x:f>ABS(L206)</x:f>
        <x:v>2348.6187501762925</x:v>
      </x:c>
      <x:c r="O206" s="6" t="n">
        <x:f>ABS(M206)</x:f>
        <x:v>0.5078363148121533</x:v>
      </x:c>
      <x:c r="P206" s="5" t="n">
        <x:v>4516.048994408717</x:v>
      </x:c>
      <x:c r="Q206" s="5" t="n">
        <x:f>P206-$D206</x:f>
        <x:v>-108.70642711925666</x:v>
      </x:c>
      <x:c r="R206" s="6" t="n">
        <x:f>Q206/$D206</x:f>
        <x:v>-0.023505335355299965</x:v>
      </x:c>
      <x:c r="S206" s="5" t="n">
        <x:f>ABS(Q206)</x:f>
        <x:v>108.70642711925666</x:v>
      </x:c>
      <x:c r="T206" s="6" t="n">
        <x:f>ABS(R206)</x:f>
        <x:v>0.023505335355299965</x:v>
      </x:c>
    </x:row>
    <x:row r="207">
      <x:c r="A207" s="4"/>
      <x:c r="B207" s="4" t="str">
        <x:v>Poopó</x:v>
      </x:c>
      <x:c r="C207" s="5" t="n">
        <x:v>7587</x:v>
      </x:c>
      <x:c r="D207" s="5" t="n">
        <x:v>8759.28605869531</x:v>
      </x:c>
      <x:c r="E207" s="5" t="n">
        <x:v>9189</x:v>
      </x:c>
      <x:c r="F207" s="5" t="n">
        <x:v>7032</x:v>
      </x:c>
      <x:c r="G207" s="5" t="n">
        <x:f>F207-$D207</x:f>
        <x:v>-1727.2860586953102</x:v>
      </x:c>
      <x:c r="H207" s="6" t="n">
        <x:f>G207/$D207</x:f>
        <x:v>-0.1971948452329217</x:v>
      </x:c>
      <x:c r="I207" s="5" t="n">
        <x:f>ABS(G207)</x:f>
        <x:v>1727.2860586953102</x:v>
      </x:c>
      <x:c r="J207" s="6" t="n">
        <x:f>ABS(H207)</x:f>
        <x:v>0.1971948452329217</x:v>
      </x:c>
      <x:c r="K207" s="5" t="n">
        <x:v>3923.8880202486994</x:v>
      </x:c>
      <x:c r="L207" s="5" t="n">
        <x:f>K207-$D207</x:f>
        <x:v>-4835.39803844661</x:v>
      </x:c>
      <x:c r="M207" s="6" t="n">
        <x:f>L207/$D207</x:f>
        <x:v>-0.5520310680625082</x:v>
      </x:c>
      <x:c r="N207" s="5" t="n">
        <x:f>ABS(L207)</x:f>
        <x:v>4835.39803844661</x:v>
      </x:c>
      <x:c r="O207" s="6" t="n">
        <x:f>ABS(M207)</x:f>
        <x:v>0.5520310680625082</x:v>
      </x:c>
      <x:c r="P207" s="5" t="n">
        <x:v>3631.8079474747447</x:v>
      </x:c>
      <x:c r="Q207" s="5" t="n">
        <x:f>P207-$D207</x:f>
        <x:v>-5127.478111220566</x:v>
      </x:c>
      <x:c r="R207" s="6" t="n">
        <x:f>Q207/$D207</x:f>
        <x:v>-0.5853762597615518</x:v>
      </x:c>
      <x:c r="S207" s="5" t="n">
        <x:f>ABS(Q207)</x:f>
        <x:v>5127.478111220566</x:v>
      </x:c>
      <x:c r="T207" s="6" t="n">
        <x:f>ABS(R207)</x:f>
        <x:v>0.5853762597615518</x:v>
      </x:c>
    </x:row>
    <x:row r="208">
      <x:c r="A208" s="4"/>
      <x:c r="B208" s="4" t="str">
        <x:v>Sabaya</x:v>
      </x:c>
      <x:c r="C208" s="5" t="n">
        <x:v>8018</x:v>
      </x:c>
      <x:c r="D208" s="5" t="n">
        <x:v>13147.686280819134</x:v>
      </x:c>
      <x:c r="E208" s="5" t="n">
        <x:v>15504</x:v>
      </x:c>
      <x:c r="F208" s="5" t="n">
        <x:v>6419</x:v>
      </x:c>
      <x:c r="G208" s="5" t="n">
        <x:f>F208-$D208</x:f>
        <x:v>-6728.6862808191345</x:v>
      </x:c>
      <x:c r="H208" s="6" t="n">
        <x:f>G208/$D208</x:f>
        <x:v>-0.511777215937641</x:v>
      </x:c>
      <x:c r="I208" s="5" t="n">
        <x:f>ABS(G208)</x:f>
        <x:v>6728.6862808191345</x:v>
      </x:c>
      <x:c r="J208" s="6" t="n">
        <x:f>ABS(H208)</x:f>
        <x:v>0.511777215937641</x:v>
      </x:c>
      <x:c r="K208" s="5" t="n">
        <x:v>8392.405732539864</x:v>
      </x:c>
      <x:c r="L208" s="5" t="n">
        <x:f>K208-$D208</x:f>
        <x:v>-4755.28054827927</x:v>
      </x:c>
      <x:c r="M208" s="6" t="n">
        <x:f>L208/$D208</x:f>
        <x:v>-0.36168192993900705</x:v>
      </x:c>
      <x:c r="N208" s="5" t="n">
        <x:f>ABS(L208)</x:f>
        <x:v>4755.28054827927</x:v>
      </x:c>
      <x:c r="O208" s="6" t="n">
        <x:f>ABS(M208)</x:f>
        <x:v>0.36168192993900705</x:v>
      </x:c>
      <x:c r="P208" s="5" t="n">
        <x:v>6083.104871875385</x:v>
      </x:c>
      <x:c r="Q208" s="5" t="n">
        <x:f>P208-$D208</x:f>
        <x:v>-7064.58140894375</x:v>
      </x:c>
      <x:c r="R208" s="6" t="n">
        <x:f>Q208/$D208</x:f>
        <x:v>-0.5373250667876149</x:v>
      </x:c>
      <x:c r="S208" s="5" t="n">
        <x:f>ABS(Q208)</x:f>
        <x:v>7064.58140894375</x:v>
      </x:c>
      <x:c r="T208" s="6" t="n">
        <x:f>ABS(R208)</x:f>
        <x:v>0.5373250667876149</x:v>
      </x:c>
    </x:row>
    <x:row r="209">
      <x:c r="A209" s="4"/>
      <x:c r="B209" s="4" t="str">
        <x:v>Salinas de Garci Mendoza (Autonomía Indígena Originario Campesina de Salinas)</x:v>
      </x:c>
      <x:c r="C209" s="5" t="n">
        <x:v>11878</x:v>
      </x:c>
      <x:c r="D209" s="5" t="n">
        <x:v>14805.716861589759</x:v>
      </x:c>
      <x:c r="E209" s="5" t="n">
        <x:v>15934</x:v>
      </x:c>
      <x:c r="F209" s="5" t="n">
        <x:v>9925</x:v>
      </x:c>
      <x:c r="G209" s="5" t="n">
        <x:f>F209-$D209</x:f>
        <x:v>-4880.716861589759</x:v>
      </x:c>
      <x:c r="H209" s="6" t="n">
        <x:f>G209/$D209</x:f>
        <x:v>-0.32965083063635553</x:v>
      </x:c>
      <x:c r="I209" s="5" t="n">
        <x:f>ABS(G209)</x:f>
        <x:v>4880.716861589759</x:v>
      </x:c>
      <x:c r="J209" s="6" t="n">
        <x:f>ABS(H209)</x:f>
        <x:v>0.32965083063635553</x:v>
      </x:c>
      <x:c r="K209" s="5" t="n">
        <x:v>13948.807557439592</x:v>
      </x:c>
      <x:c r="L209" s="5" t="n">
        <x:f>K209-$D209</x:f>
        <x:v>-856.9093041501674</x:v>
      </x:c>
      <x:c r="M209" s="6" t="n">
        <x:f>L209/$D209</x:f>
        <x:v>-0.057876920932699576</x:v>
      </x:c>
      <x:c r="N209" s="5" t="n">
        <x:f>ABS(L209)</x:f>
        <x:v>856.9093041501674</x:v>
      </x:c>
      <x:c r="O209" s="6" t="n">
        <x:f>ABS(M209)</x:f>
        <x:v>0.057876920932699576</x:v>
      </x:c>
      <x:c r="P209" s="5" t="n">
        <x:v>9306.918653001834</x:v>
      </x:c>
      <x:c r="Q209" s="5" t="n">
        <x:f>P209-$D209</x:f>
        <x:v>-5498.798208587925</x:v>
      </x:c>
      <x:c r="R209" s="6" t="n">
        <x:f>Q209/$D209</x:f>
        <x:v>-0.37139695835014724</x:v>
      </x:c>
      <x:c r="S209" s="5" t="n">
        <x:f>ABS(Q209)</x:f>
        <x:v>5498.798208587925</x:v>
      </x:c>
      <x:c r="T209" s="6" t="n">
        <x:f>ABS(R209)</x:f>
        <x:v>0.37139695835014724</x:v>
      </x:c>
    </x:row>
    <x:row r="210">
      <x:c r="A210" s="4"/>
      <x:c r="B210" s="4" t="str">
        <x:v>Santiago de Huari</x:v>
      </x:c>
      <x:c r="C210" s="5" t="n">
        <x:v>13283</x:v>
      </x:c>
      <x:c r="D210" s="5" t="n">
        <x:v>13446.913800442611</x:v>
      </x:c>
      <x:c r="E210" s="5" t="n">
        <x:v>13502</x:v>
      </x:c>
      <x:c r="F210" s="5" t="n">
        <x:v>10073</x:v>
      </x:c>
      <x:c r="G210" s="5" t="n">
        <x:f>F210-$D210</x:f>
        <x:v>-3373.9138004426113</x:v>
      </x:c>
      <x:c r="H210" s="6" t="n">
        <x:f>G210/$D210</x:f>
        <x:v>-0.25090618193235964</x:v>
      </x:c>
      <x:c r="I210" s="5" t="n">
        <x:f>ABS(G210)</x:f>
        <x:v>3373.9138004426113</x:v>
      </x:c>
      <x:c r="J210" s="6" t="n">
        <x:f>ABS(H210)</x:f>
        <x:v>0.25090618193235964</x:v>
      </x:c>
      <x:c r="K210" s="5" t="n">
        <x:v>18121.79406874421</x:v>
      </x:c>
      <x:c r="L210" s="5" t="n">
        <x:f>K210-$D210</x:f>
        <x:v>4674.880268301598</x:v>
      </x:c>
      <x:c r="M210" s="6" t="n">
        <x:f>L210/$D210</x:f>
        <x:v>0.3476545129743988</x:v>
      </x:c>
      <x:c r="N210" s="5" t="n">
        <x:f>ABS(L210)</x:f>
        <x:v>4674.880268301598</x:v>
      </x:c>
      <x:c r="O210" s="6" t="n">
        <x:f>ABS(M210)</x:f>
        <x:v>0.3476545129743988</x:v>
      </x:c>
      <x:c r="P210" s="5" t="n">
        <x:v>10663.504237174757</x:v>
      </x:c>
      <x:c r="Q210" s="5" t="n">
        <x:f>P210-$D210</x:f>
        <x:v>-2783.4095632678545</x:v>
      </x:c>
      <x:c r="R210" s="6" t="n">
        <x:f>Q210/$D210</x:f>
        <x:v>-0.20699244485201038</x:v>
      </x:c>
      <x:c r="S210" s="5" t="n">
        <x:f>ABS(Q210)</x:f>
        <x:v>2783.4095632678545</x:v>
      </x:c>
      <x:c r="T210" s="6" t="n">
        <x:f>ABS(R210)</x:f>
        <x:v>0.20699244485201038</x:v>
      </x:c>
    </x:row>
    <x:row r="211">
      <x:c r="A211" s="4"/>
      <x:c r="B211" s="4" t="str">
        <x:v>Santiago de Huayllamarca</x:v>
      </x:c>
      <x:c r="C211" s="5" t="n">
        <x:v>5502</x:v>
      </x:c>
      <x:c r="D211" s="5" t="n">
        <x:v>5868.489942853935</x:v>
      </x:c>
      <x:c r="E211" s="5" t="n">
        <x:v>5996</x:v>
      </x:c>
      <x:c r="F211" s="5" t="n">
        <x:v>4813</x:v>
      </x:c>
      <x:c r="G211" s="5" t="n">
        <x:f>F211-$D211</x:f>
        <x:v>-1055.4899428539347</x:v>
      </x:c>
      <x:c r="H211" s="6" t="n">
        <x:f>G211/$D211</x:f>
        <x:v>-0.17985716140473337</x:v>
      </x:c>
      <x:c r="I211" s="5" t="n">
        <x:f>ABS(G211)</x:f>
        <x:v>1055.4899428539347</x:v>
      </x:c>
      <x:c r="J211" s="6" t="n">
        <x:f>ABS(H211)</x:f>
        <x:v>0.17985716140473337</x:v>
      </x:c>
      <x:c r="K211" s="5" t="n">
        <x:v>5821.412948493593</x:v>
      </x:c>
      <x:c r="L211" s="5" t="n">
        <x:f>K211-$D211</x:f>
        <x:v>-47.076994360341814</x:v>
      </x:c>
      <x:c r="M211" s="6" t="n">
        <x:f>L211/$D211</x:f>
        <x:v>-0.008021994553755265</x:v>
      </x:c>
      <x:c r="N211" s="5" t="n">
        <x:f>ABS(L211)</x:f>
        <x:v>47.076994360341814</x:v>
      </x:c>
      <x:c r="O211" s="6" t="n">
        <x:f>ABS(M211)</x:f>
        <x:v>0.008021994553755265</x:v>
      </x:c>
      <x:c r="P211" s="5" t="n">
        <x:v>4153.802642018594</x:v>
      </x:c>
      <x:c r="Q211" s="5" t="n">
        <x:f>P211-$D211</x:f>
        <x:v>-1714.6873008353405</x:v>
      </x:c>
      <x:c r="R211" s="6" t="n">
        <x:f>Q211/$D211</x:f>
        <x:v>-0.29218543740086267</x:v>
      </x:c>
      <x:c r="S211" s="5" t="n">
        <x:f>ABS(Q211)</x:f>
        <x:v>1714.6873008353405</x:v>
      </x:c>
      <x:c r="T211" s="6" t="n">
        <x:f>ABS(R211)</x:f>
        <x:v>0.29218543740086267</x:v>
      </x:c>
    </x:row>
    <x:row r="212">
      <x:c r="A212" s="4"/>
      <x:c r="B212" s="4" t="str">
        <x:v>Santuario de Quillacas</x:v>
      </x:c>
      <x:c r="C212" s="5" t="n">
        <x:v>4051</x:v>
      </x:c>
      <x:c r="D212" s="5" t="n">
        <x:v>4857.814815841433</x:v>
      </x:c>
      <x:c r="E212" s="5" t="n">
        <x:v>5161</x:v>
      </x:c>
      <x:c r="F212" s="5" t="n">
        <x:v>3925</x:v>
      </x:c>
      <x:c r="G212" s="5" t="n">
        <x:f>F212-$D212</x:f>
        <x:v>-932.8148158414333</x:v>
      </x:c>
      <x:c r="H212" s="6" t="n">
        <x:f>G212/$D212</x:f>
        <x:v>-0.1920235437545921</x:v>
      </x:c>
      <x:c r="I212" s="5" t="n">
        <x:f>ABS(G212)</x:f>
        <x:v>932.8148158414333</x:v>
      </x:c>
      <x:c r="J212" s="6" t="n">
        <x:f>ABS(H212)</x:f>
        <x:v>0.1920235437545921</x:v>
      </x:c>
      <x:c r="K212" s="5" t="n">
        <x:v>6397.135896770258</x:v>
      </x:c>
      <x:c r="L212" s="5" t="n">
        <x:f>K212-$D212</x:f>
        <x:v>1539.3210809288248</x:v>
      </x:c>
      <x:c r="M212" s="6" t="n">
        <x:f>L212/$D212</x:f>
        <x:v>0.3168752081510121</x:v>
      </x:c>
      <x:c r="N212" s="5" t="n">
        <x:f>ABS(L212)</x:f>
        <x:v>1539.3210809288248</x:v>
      </x:c>
      <x:c r="O212" s="6" t="n">
        <x:f>ABS(M212)</x:f>
        <x:v>0.3168752081510121</x:v>
      </x:c>
      <x:c r="P212" s="5" t="n">
        <x:v>3226.8460127793587</x:v>
      </x:c>
      <x:c r="Q212" s="5" t="n">
        <x:f>P212-$D212</x:f>
        <x:v>-1630.9688030620746</x:v>
      </x:c>
      <x:c r="R212" s="6" t="n">
        <x:f>Q212/$D212</x:f>
        <x:v>-0.3357412468139897</x:v>
      </x:c>
      <x:c r="S212" s="5" t="n">
        <x:f>ABS(Q212)</x:f>
        <x:v>1630.9688030620746</x:v>
      </x:c>
      <x:c r="T212" s="6" t="n">
        <x:f>ABS(R212)</x:f>
        <x:v>0.3357412468139897</x:v>
      </x:c>
    </x:row>
    <x:row r="213">
      <x:c r="A213" s="4"/>
      <x:c r="B213" s="4" t="str">
        <x:v>Todos Santos</x:v>
      </x:c>
      <x:c r="C213" s="5" t="n">
        <x:v>727</x:v>
      </x:c>
      <x:c r="D213" s="5" t="n">
        <x:v>1018.7373786517044</x:v>
      </x:c>
      <x:c r="E213" s="5" t="n">
        <x:v>1140</x:v>
      </x:c>
      <x:c r="F213" s="5" t="n">
        <x:v>535</x:v>
      </x:c>
      <x:c r="G213" s="5" t="n">
        <x:f>F213-$D213</x:f>
        <x:v>-483.7373786517044</x:v>
      </x:c>
      <x:c r="H213" s="6" t="n">
        <x:f>G213/$D213</x:f>
        <x:v>-0.4748401195329941</x:v>
      </x:c>
      <x:c r="I213" s="5" t="n">
        <x:f>ABS(G213)</x:f>
        <x:v>483.7373786517044</x:v>
      </x:c>
      <x:c r="J213" s="6" t="n">
        <x:f>ABS(H213)</x:f>
        <x:v>0.4748401195329941</x:v>
      </x:c>
      <x:c r="K213" s="5" t="n">
        <x:v>1449.6727961766644</x:v>
      </x:c>
      <x:c r="L213" s="5" t="n">
        <x:f>K213-$D213</x:f>
        <x:v>430.93541752496003</x:v>
      </x:c>
      <x:c r="M213" s="6" t="n">
        <x:f>L213/$D213</x:f>
        <x:v>0.42300933150730335</x:v>
      </x:c>
      <x:c r="N213" s="5" t="n">
        <x:f>ABS(L213)</x:f>
        <x:v>430.93541752496003</x:v>
      </x:c>
      <x:c r="O213" s="6" t="n">
        <x:f>ABS(M213)</x:f>
        <x:v>0.42300933150730335</x:v>
      </x:c>
      <x:c r="P213" s="5" t="n">
        <x:v>556.6749870171188</x:v>
      </x:c>
      <x:c r="Q213" s="5" t="n">
        <x:f>P213-$D213</x:f>
        <x:v>-462.06239163458554</x:v>
      </x:c>
      <x:c r="R213" s="6" t="n">
        <x:f>Q213/$D213</x:f>
        <x:v>-0.4535637950637716</x:v>
      </x:c>
      <x:c r="S213" s="5" t="n">
        <x:f>ABS(Q213)</x:f>
        <x:v>462.06239163458554</x:v>
      </x:c>
      <x:c r="T213" s="6" t="n">
        <x:f>ABS(R213)</x:f>
        <x:v>0.4535637950637716</x:v>
      </x:c>
    </x:row>
    <x:row r="214">
      <x:c r="A214" s="4"/>
      <x:c r="B214" s="4" t="str">
        <x:v>Toledo</x:v>
      </x:c>
      <x:c r="C214" s="5" t="n">
        <x:v>10149</x:v>
      </x:c>
      <x:c r="D214" s="5" t="n">
        <x:v>11652.767426768622</x:v>
      </x:c>
      <x:c r="E214" s="5" t="n">
        <x:v>12202</x:v>
      </x:c>
      <x:c r="F214" s="5" t="n">
        <x:v>6424</x:v>
      </x:c>
      <x:c r="G214" s="5" t="n">
        <x:f>F214-$D214</x:f>
        <x:v>-5228.767426768622</x:v>
      </x:c>
      <x:c r="H214" s="6" t="n">
        <x:f>G214/$D214</x:f>
        <x:v>-0.4487146473684139</x:v>
      </x:c>
      <x:c r="I214" s="5" t="n">
        <x:f>ABS(G214)</x:f>
        <x:v>5228.767426768622</x:v>
      </x:c>
      <x:c r="J214" s="6" t="n">
        <x:f>ABS(H214)</x:f>
        <x:v>0.4487146473684139</x:v>
      </x:c>
      <x:c r="K214" s="5" t="n">
        <x:v>11294.577036296316</x:v>
      </x:c>
      <x:c r="L214" s="5" t="n">
        <x:f>K214-$D214</x:f>
        <x:v>-358.1903904723058</x:v>
      </x:c>
      <x:c r="M214" s="6" t="n">
        <x:f>L214/$D214</x:f>
        <x:v>-0.030738654377454957</x:v>
      </x:c>
      <x:c r="N214" s="5" t="n">
        <x:f>ABS(L214)</x:f>
        <x:v>358.1903904723058</x:v>
      </x:c>
      <x:c r="O214" s="6" t="n">
        <x:f>ABS(M214)</x:f>
        <x:v>0.030738654377454957</x:v>
      </x:c>
      <x:c r="P214" s="5" t="n">
        <x:v>8476.664509369068</x:v>
      </x:c>
      <x:c r="Q214" s="5" t="n">
        <x:f>P214-$D214</x:f>
        <x:v>-3176.102917399554</x:v>
      </x:c>
      <x:c r="R214" s="6" t="n">
        <x:f>Q214/$D214</x:f>
        <x:v>-0.2725621134515602</x:v>
      </x:c>
      <x:c r="S214" s="5" t="n">
        <x:f>ABS(Q214)</x:f>
        <x:v>3176.102917399554</x:v>
      </x:c>
      <x:c r="T214" s="6" t="n">
        <x:f>ABS(R214)</x:f>
        <x:v>0.2725621134515602</x:v>
      </x:c>
    </x:row>
    <x:row r="215">
      <x:c r="A215" s="4"/>
      <x:c r="B215" s="4" t="str">
        <x:v>Totora</x:v>
      </x:c>
      <x:c r="C215" s="5" t="n">
        <x:v>5531</x:v>
      </x:c>
      <x:c r="D215" s="5" t="n">
        <x:v>6341.321583460164</x:v>
      </x:c>
      <x:c r="E215" s="5" t="n">
        <x:v>6637</x:v>
      </x:c>
      <x:c r="F215" s="5" t="n">
        <x:v>4724</x:v>
      </x:c>
      <x:c r="G215" s="5" t="n">
        <x:f>F215-$D215</x:f>
        <x:v>-1617.3215834601642</x:v>
      </x:c>
      <x:c r="H215" s="6" t="n">
        <x:f>G215/$D215</x:f>
        <x:v>-0.25504487702982365</x:v>
      </x:c>
      <x:c r="I215" s="5" t="n">
        <x:f>ABS(G215)</x:f>
        <x:v>1617.3215834601642</x:v>
      </x:c>
      <x:c r="J215" s="6" t="n">
        <x:f>ABS(H215)</x:f>
        <x:v>0.25504487702982365</x:v>
      </x:c>
      <x:c r="K215" s="5" t="n">
        <x:v>4816.84548278404</x:v>
      </x:c>
      <x:c r="L215" s="5" t="n">
        <x:f>K215-$D215</x:f>
        <x:v>-1524.4761006761246</x:v>
      </x:c>
      <x:c r="M215" s="6" t="n">
        <x:f>L215/$D215</x:f>
        <x:v>-0.24040353112706972</x:v>
      </x:c>
      <x:c r="N215" s="5" t="n">
        <x:f>ABS(L215)</x:f>
        <x:v>1524.4761006761246</x:v>
      </x:c>
      <x:c r="O215" s="6" t="n">
        <x:f>ABS(M215)</x:f>
        <x:v>0.24040353112706972</x:v>
      </x:c>
      <x:c r="P215" s="5" t="n">
        <x:v>4153.423231607725</x:v>
      </x:c>
      <x:c r="Q215" s="5" t="n">
        <x:f>P215-$D215</x:f>
        <x:v>-2187.898351852439</x:v>
      </x:c>
      <x:c r="R215" s="6" t="n">
        <x:f>Q215/$D215</x:f>
        <x:v>-0.34502245676343773</x:v>
      </x:c>
      <x:c r="S215" s="5" t="n">
        <x:f>ABS(Q215)</x:f>
        <x:v>2187.898351852439</x:v>
      </x:c>
      <x:c r="T215" s="6" t="n">
        <x:f>ABS(R215)</x:f>
        <x:v>0.34502245676343773</x:v>
      </x:c>
    </x:row>
    <x:row r="216">
      <x:c r="A216" s="4"/>
      <x:c r="B216" s="4" t="str">
        <x:v>Turco</x:v>
      </x:c>
      <x:c r="C216" s="5" t="n">
        <x:v>5207</x:v>
      </x:c>
      <x:c r="D216" s="5" t="n">
        <x:v>5647.891205095732</x:v>
      </x:c>
      <x:c r="E216" s="5" t="n">
        <x:v>5803</x:v>
      </x:c>
      <x:c r="F216" s="5" t="n">
        <x:v>3325</x:v>
      </x:c>
      <x:c r="G216" s="5" t="n">
        <x:f>F216-$D216</x:f>
        <x:v>-2322.8912050957324</x:v>
      </x:c>
      <x:c r="H216" s="6" t="n">
        <x:f>G216/$D216</x:f>
        <x:v>-0.41128469383403415</x:v>
      </x:c>
      <x:c r="I216" s="5" t="n">
        <x:f>ABS(G216)</x:f>
        <x:v>2322.8912050957324</x:v>
      </x:c>
      <x:c r="J216" s="6" t="n">
        <x:f>ABS(H216)</x:f>
        <x:v>0.41128469383403415</x:v>
      </x:c>
      <x:c r="K216" s="5" t="n">
        <x:v>5723.16348452519</x:v>
      </x:c>
      <x:c r="L216" s="5" t="n">
        <x:f>K216-$D216</x:f>
        <x:v>75.27227942945774</x:v>
      </x:c>
      <x:c r="M216" s="6" t="n">
        <x:f>L216/$D216</x:f>
        <x:v>0.013327501663194992</x:v>
      </x:c>
      <x:c r="N216" s="5" t="n">
        <x:f>ABS(L216)</x:f>
        <x:v>75.27227942945774</x:v>
      </x:c>
      <x:c r="O216" s="6" t="n">
        <x:f>ABS(M216)</x:f>
        <x:v>0.013327501663194992</x:v>
      </x:c>
      <x:c r="P216" s="5" t="n">
        <x:v>3408.9490608171764</x:v>
      </x:c>
      <x:c r="Q216" s="5" t="n">
        <x:f>P216-$D216</x:f>
        <x:v>-2238.942144278556</x:v>
      </x:c>
      <x:c r="R216" s="6" t="n">
        <x:f>Q216/$D216</x:f>
        <x:v>-0.3964209052501757</x:v>
      </x:c>
      <x:c r="S216" s="5" t="n">
        <x:f>ABS(Q216)</x:f>
        <x:v>2238.942144278556</x:v>
      </x:c>
      <x:c r="T216" s="6" t="n">
        <x:f>ABS(R216)</x:f>
        <x:v>0.3964209052501757</x:v>
      </x:c>
    </x:row>
    <x:row r="217">
      <x:c r="A217" s="4"/>
      <x:c r="B217" s="4" t="str">
        <x:v>Uru Chipaya (Nación Originaria Uru Chipaya)</x:v>
      </x:c>
      <x:c r="C217" s="5" t="n">
        <x:v>2003</x:v>
      </x:c>
      <x:c r="D217" s="5" t="n">
        <x:v>2261.58763445302</x:v>
      </x:c>
      <x:c r="E217" s="5" t="n">
        <x:v>2355</x:v>
      </x:c>
      <x:c r="F217" s="5" t="n">
        <x:v>1837</x:v>
      </x:c>
      <x:c r="G217" s="5" t="n">
        <x:f>F217-$D217</x:f>
        <x:v>-424.5876344530202</x:v>
      </x:c>
      <x:c r="H217" s="6" t="n">
        <x:f>G217/$D217</x:f>
        <x:v>-0.18773874953366973</x:v>
      </x:c>
      <x:c r="I217" s="5" t="n">
        <x:f>ABS(G217)</x:f>
        <x:v>424.5876344530202</x:v>
      </x:c>
      <x:c r="J217" s="6" t="n">
        <x:f>ABS(H217)</x:f>
        <x:v>0.18773874953366973</x:v>
      </x:c>
      <x:c r="K217" s="5" t="n">
        <x:v>1452.9815429939113</x:v>
      </x:c>
      <x:c r="L217" s="5" t="n">
        <x:f>K217-$D217</x:f>
        <x:v>-808.6060914591089</x:v>
      </x:c>
      <x:c r="M217" s="6" t="n">
        <x:f>L217/$D217</x:f>
        <x:v>-0.35753913717107655</x:v>
      </x:c>
      <x:c r="N217" s="5" t="n">
        <x:f>ABS(L217)</x:f>
        <x:v>808.6060914591089</x:v>
      </x:c>
      <x:c r="O217" s="6" t="n">
        <x:f>ABS(M217)</x:f>
        <x:v>0.35753913717107655</x:v>
      </x:c>
      <x:c r="P217" s="5" t="n">
        <x:v>1530.3079124650394</x:v>
      </x:c>
      <x:c r="Q217" s="5" t="n">
        <x:f>P217-$D217</x:f>
        <x:v>-731.2797219879808</x:v>
      </x:c>
      <x:c r="R217" s="6" t="n">
        <x:f>Q217/$D217</x:f>
        <x:v>-0.32334794851531173</x:v>
      </x:c>
      <x:c r="S217" s="5" t="n">
        <x:f>ABS(Q217)</x:f>
        <x:v>731.2797219879808</x:v>
      </x:c>
      <x:c r="T217" s="6" t="n">
        <x:f>ABS(R217)</x:f>
        <x:v>0.32334794851531173</x:v>
      </x:c>
    </x:row>
    <x:row r="218">
      <x:c r="A218" s="4"/>
      <x:c r="B218" s="4" t="str">
        <x:v>Yunguyo del Litoral</x:v>
      </x:c>
      <x:c r="C218" s="5" t="n">
        <x:v>514</x:v>
      </x:c>
      <x:c r="D218" s="5" t="n">
        <x:v>766.0318366874046</x:v>
      </x:c>
      <x:c r="E218" s="5" t="n">
        <x:v>875</x:v>
      </x:c>
      <x:c r="F218" s="5" t="n">
        <x:v>459</x:v>
      </x:c>
      <x:c r="G218" s="5" t="n">
        <x:f>F218-$D218</x:f>
        <x:v>-307.0318366874046</x:v>
      </x:c>
      <x:c r="H218" s="6" t="n">
        <x:f>G218/$D218</x:f>
        <x:v>-0.4008081935799431</x:v>
      </x:c>
      <x:c r="I218" s="5" t="n">
        <x:f>ABS(G218)</x:f>
        <x:v>307.0318366874046</x:v>
      </x:c>
      <x:c r="J218" s="6" t="n">
        <x:f>ABS(H218)</x:f>
        <x:v>0.4008081935799431</x:v>
      </x:c>
      <x:c r="K218" s="5" t="n">
        <x:v>530.2556530687224</x:v>
      </x:c>
      <x:c r="L218" s="5" t="n">
        <x:f>K218-$D218</x:f>
        <x:v>-235.77618361868224</x:v>
      </x:c>
      <x:c r="M218" s="6" t="n">
        <x:f>L218/$D218</x:f>
        <x:v>-0.3077890138851966</x:v>
      </x:c>
      <x:c r="N218" s="5" t="n">
        <x:f>ABS(L218)</x:f>
        <x:v>235.77618361868224</x:v>
      </x:c>
      <x:c r="O218" s="6" t="n">
        <x:f>ABS(M218)</x:f>
        <x:v>0.3077890138851966</x:v>
      </x:c>
      <x:c r="P218" s="5" t="n">
        <x:v>391.38811019284185</x:v>
      </x:c>
      <x:c r="Q218" s="5" t="n">
        <x:f>P218-$D218</x:f>
        <x:v>-374.64372649456277</x:v>
      </x:c>
      <x:c r="R218" s="6" t="n">
        <x:f>Q218/$D218</x:f>
        <x:v>-0.48907069987411506</x:v>
      </x:c>
      <x:c r="S218" s="5" t="n">
        <x:f>ABS(Q218)</x:f>
        <x:v>374.64372649456277</x:v>
      </x:c>
      <x:c r="T218" s="6" t="n">
        <x:f>ABS(R218)</x:f>
        <x:v>0.48907069987411506</x:v>
      </x:c>
    </x:row>
    <x:row r="219">
      <x:c r="A219" s="4"/>
      <x:c r="B219" s="4" t="str">
        <x:v>Bella Flor</x:v>
      </x:c>
      <x:c r="C219" s="5" t="n">
        <x:v>3909</x:v>
      </x:c>
      <x:c r="D219" s="5" t="n">
        <x:v>3697.8252734258235</x:v>
      </x:c>
      <x:c r="E219" s="5" t="n">
        <x:v>3630</x:v>
      </x:c>
      <x:c r="F219" s="5" t="n">
        <x:v>3907</x:v>
      </x:c>
      <x:c r="G219" s="5" t="n">
        <x:f>F219-$D219</x:f>
        <x:v>209.17472657417647</x:v>
      </x:c>
      <x:c r="H219" s="6" t="n">
        <x:f>G219/$D219</x:f>
        <x:v>0.05656695790290493</x:v>
      </x:c>
      <x:c r="I219" s="5" t="n">
        <x:f>ABS(G219)</x:f>
        <x:v>209.17472657417647</x:v>
      </x:c>
      <x:c r="J219" s="6" t="n">
        <x:f>ABS(H219)</x:f>
        <x:v>0.05656695790290493</x:v>
      </x:c>
      <x:c r="K219" s="5" t="n">
        <x:v>9502.15286822543</x:v>
      </x:c>
      <x:c r="L219" s="5" t="n">
        <x:f>K219-$D219</x:f>
        <x:v>5804.327594799606</x:v>
      </x:c>
      <x:c r="M219" s="6" t="n">
        <x:f>L219/$D219</x:f>
        <x:v>1.5696597771971603</x:v>
      </x:c>
      <x:c r="N219" s="5" t="n">
        <x:f>ABS(L219)</x:f>
        <x:v>5804.327594799606</x:v>
      </x:c>
      <x:c r="O219" s="6" t="n">
        <x:f>ABS(M219)</x:f>
        <x:v>1.5696597771971603</x:v>
      </x:c>
      <x:c r="P219" s="5" t="n">
        <x:v>2329.7695150249783</x:v>
      </x:c>
      <x:c r="Q219" s="5" t="n">
        <x:f>P219-$D219</x:f>
        <x:v>-1368.0557584008452</x:v>
      </x:c>
      <x:c r="R219" s="6" t="n">
        <x:f>Q219/$D219</x:f>
        <x:v>-0.3699622500371468</x:v>
      </x:c>
      <x:c r="S219" s="5" t="n">
        <x:f>ABS(Q219)</x:f>
        <x:v>1368.0557584008452</x:v>
      </x:c>
      <x:c r="T219" s="6" t="n">
        <x:f>ABS(R219)</x:f>
        <x:v>0.3699622500371468</x:v>
      </x:c>
    </x:row>
    <x:row r="220">
      <x:c r="A220" s="4"/>
      <x:c r="B220" s="4" t="str">
        <x:v>Bolpebra</x:v>
      </x:c>
      <x:c r="C220" s="5" t="n">
        <x:v>2173</x:v>
      </x:c>
      <x:c r="D220" s="5" t="n">
        <x:v>2368.1356648989813</x:v>
      </x:c>
      <x:c r="E220" s="5" t="n">
        <x:v>2437</x:v>
      </x:c>
      <x:c r="F220" s="5" t="n">
        <x:v>2347</x:v>
      </x:c>
      <x:c r="G220" s="5" t="n">
        <x:f>F220-$D220</x:f>
        <x:v>-21.135664898981304</x:v>
      </x:c>
      <x:c r="H220" s="6" t="n">
        <x:f>G220/$D220</x:f>
        <x:v>-0.00892502284065001</x:v>
      </x:c>
      <x:c r="I220" s="5" t="n">
        <x:f>ABS(G220)</x:f>
        <x:v>21.135664898981304</x:v>
      </x:c>
      <x:c r="J220" s="6" t="n">
        <x:f>ABS(H220)</x:f>
        <x:v>0.00892502284065001</x:v>
      </x:c>
      <x:c r="K220" s="5" t="n">
        <x:v>4184.264304249404</x:v>
      </x:c>
      <x:c r="L220" s="5" t="n">
        <x:f>K220-$D220</x:f>
        <x:v>1816.1286393504224</x:v>
      </x:c>
      <x:c r="M220" s="6" t="n">
        <x:f>L220/$D220</x:f>
        <x:v>0.7669022794046277</x:v>
      </x:c>
      <x:c r="N220" s="5" t="n">
        <x:f>ABS(L220)</x:f>
        <x:v>1816.1286393504224</x:v>
      </x:c>
      <x:c r="O220" s="6" t="n">
        <x:f>ABS(M220)</x:f>
        <x:v>0.7669022794046277</x:v>
      </x:c>
      <x:c r="P220" s="5" t="n">
        <x:v>1355.7227377435463</x:v>
      </x:c>
      <x:c r="Q220" s="5" t="n">
        <x:f>P220-$D220</x:f>
        <x:v>-1012.412927155435</x:v>
      </x:c>
      <x:c r="R220" s="6" t="n">
        <x:f>Q220/$D220</x:f>
        <x:v>-0.42751475017315865</x:v>
      </x:c>
      <x:c r="S220" s="5" t="n">
        <x:f>ABS(Q220)</x:f>
        <x:v>1012.412927155435</x:v>
      </x:c>
      <x:c r="T220" s="6" t="n">
        <x:f>ABS(R220)</x:f>
        <x:v>0.42751475017315865</x:v>
      </x:c>
    </x:row>
    <x:row r="221">
      <x:c r="A221" s="4"/>
      <x:c r="B221" s="4" t="str">
        <x:v>Cobija</x:v>
      </x:c>
      <x:c r="C221" s="5" t="n">
        <x:v>46267</x:v>
      </x:c>
      <x:c r="D221" s="5" t="n">
        <x:v>52755.07976196005</x:v>
      </x:c>
      <x:c r="E221" s="5" t="n">
        <x:v>55114</x:v>
      </x:c>
      <x:c r="F221" s="5" t="n">
        <x:v>88064</x:v>
      </x:c>
      <x:c r="G221" s="5" t="n">
        <x:f>F221-$D221</x:f>
        <x:v>35308.92023803995</x:v>
      </x:c>
      <x:c r="H221" s="6" t="n">
        <x:f>G221/$D221</x:f>
        <x:v>0.6692989641444927</x:v>
      </x:c>
      <x:c r="I221" s="5" t="n">
        <x:f>ABS(G221)</x:f>
        <x:v>35308.92023803995</x:v>
      </x:c>
      <x:c r="J221" s="6" t="n">
        <x:f>ABS(H221)</x:f>
        <x:v>0.6692989641444927</x:v>
      </x:c>
      <x:c r="K221" s="5" t="n">
        <x:v>75359.1567695848</x:v>
      </x:c>
      <x:c r="L221" s="5" t="n">
        <x:f>K221-$D221</x:f>
        <x:v>22604.077007624757</x:v>
      </x:c>
      <x:c r="M221" s="6" t="n">
        <x:f>L221/$D221</x:f>
        <x:v>0.42847204685535917</x:v>
      </x:c>
      <x:c r="N221" s="5" t="n">
        <x:f>ABS(L221)</x:f>
        <x:v>22604.077007624757</x:v>
      </x:c>
      <x:c r="O221" s="6" t="n">
        <x:f>ABS(M221)</x:f>
        <x:v>0.42847204685535917</x:v>
      </x:c>
      <x:c r="P221" s="5" t="n">
        <x:v>28839.90160197014</x:v>
      </x:c>
      <x:c r="Q221" s="5" t="n">
        <x:f>P221-$D221</x:f>
        <x:v>-23915.178159989908</x:v>
      </x:c>
      <x:c r="R221" s="6" t="n">
        <x:f>Q221/$D221</x:f>
        <x:v>-0.45332465172831293</x:v>
      </x:c>
      <x:c r="S221" s="5" t="n">
        <x:f>ABS(Q221)</x:f>
        <x:v>23915.178159989908</x:v>
      </x:c>
      <x:c r="T221" s="6" t="n">
        <x:f>ABS(R221)</x:f>
        <x:v>0.45332465172831293</x:v>
      </x:c>
    </x:row>
    <x:row r="222">
      <x:c r="A222" s="4"/>
      <x:c r="B222" s="4" t="str">
        <x:v>Filadelfia</x:v>
      </x:c>
      <x:c r="C222" s="5" t="n">
        <x:v>5756</x:v>
      </x:c>
      <x:c r="D222" s="5" t="n">
        <x:v>7399.02905331173</x:v>
      </x:c>
      <x:c r="E222" s="5" t="n">
        <x:v>8045</x:v>
      </x:c>
      <x:c r="F222" s="5" t="n">
        <x:v>7837</x:v>
      </x:c>
      <x:c r="G222" s="5" t="n">
        <x:f>F222-$D222</x:f>
        <x:v>437.9709466882696</x:v>
      </x:c>
      <x:c r="H222" s="6" t="n">
        <x:f>G222/$D222</x:f>
        <x:v>0.05919302972492563</x:v>
      </x:c>
      <x:c r="I222" s="5" t="n">
        <x:f>ABS(G222)</x:f>
        <x:v>437.9709466882696</x:v>
      </x:c>
      <x:c r="J222" s="6" t="n">
        <x:f>ABS(H222)</x:f>
        <x:v>0.05919302972492563</x:v>
      </x:c>
      <x:c r="K222" s="5" t="n">
        <x:v>6038.864456806659</x:v>
      </x:c>
      <x:c r="L222" s="5" t="n">
        <x:f>K222-$D222</x:f>
        <x:v>-1360.1645965050711</x:v>
      </x:c>
      <x:c r="M222" s="6" t="n">
        <x:f>L222/$D222</x:f>
        <x:v>-0.183830146726654</x:v>
      </x:c>
      <x:c r="N222" s="5" t="n">
        <x:f>ABS(L222)</x:f>
        <x:v>1360.1645965050711</x:v>
      </x:c>
      <x:c r="O222" s="6" t="n">
        <x:f>ABS(M222)</x:f>
        <x:v>0.183830146726654</x:v>
      </x:c>
      <x:c r="P222" s="5" t="n">
        <x:v>3629.7804264907454</x:v>
      </x:c>
      <x:c r="Q222" s="5" t="n">
        <x:f>P222-$D222</x:f>
        <x:v>-3769.248626820985</x:v>
      </x:c>
      <x:c r="R222" s="6" t="n">
        <x:f>Q222/$D222</x:f>
        <x:v>-0.5094247636632684</x:v>
      </x:c>
      <x:c r="S222" s="5" t="n">
        <x:f>ABS(Q222)</x:f>
        <x:v>3769.248626820985</x:v>
      </x:c>
      <x:c r="T222" s="6" t="n">
        <x:f>ABS(R222)</x:f>
        <x:v>0.5094247636632684</x:v>
      </x:c>
    </x:row>
    <x:row r="223">
      <x:c r="A223" s="4"/>
      <x:c r="B223" s="4" t="str">
        <x:v>Ingavi</x:v>
      </x:c>
      <x:c r="C223" s="5" t="n">
        <x:v>1654</x:v>
      </x:c>
      <x:c r="D223" s="5" t="n">
        <x:v>2322.008938893482</x:v>
      </x:c>
      <x:c r="E223" s="5" t="n">
        <x:v>2600</x:v>
      </x:c>
      <x:c r="F223" s="5" t="n">
        <x:v>2408</x:v>
      </x:c>
      <x:c r="G223" s="5" t="n">
        <x:f>F223-$D223</x:f>
        <x:v>85.99106110651792</x:v>
      </x:c>
      <x:c r="H223" s="6" t="n">
        <x:f>G223/$D223</x:f>
        <x:v>0.03703304482001506</x:v>
      </x:c>
      <x:c r="I223" s="5" t="n">
        <x:f>ABS(G223)</x:f>
        <x:v>85.99106110651792</x:v>
      </x:c>
      <x:c r="J223" s="6" t="n">
        <x:f>ABS(H223)</x:f>
        <x:v>0.03703304482001506</x:v>
      </x:c>
      <x:c r="K223" s="5" t="n">
        <x:v>1547.7033184722352</x:v>
      </x:c>
      <x:c r="L223" s="5" t="n">
        <x:f>K223-$D223</x:f>
        <x:v>-774.3056204212469</x:v>
      </x:c>
      <x:c r="M223" s="6" t="n">
        <x:f>L223/$D223</x:f>
        <x:v>-0.33346366908915964</x:v>
      </x:c>
      <x:c r="N223" s="5" t="n">
        <x:f>ABS(L223)</x:f>
        <x:v>774.3056204212469</x:v>
      </x:c>
      <x:c r="O223" s="6" t="n">
        <x:f>ABS(M223)</x:f>
        <x:v>0.33346366908915964</x:v>
      </x:c>
      <x:c r="P223" s="5" t="n">
        <x:v>1202.1302670029108</x:v>
      </x:c>
      <x:c r="Q223" s="5" t="n">
        <x:f>P223-$D223</x:f>
        <x:v>-1119.8786718905712</x:v>
      </x:c>
      <x:c r="R223" s="6" t="n">
        <x:f>Q223/$D223</x:f>
        <x:v>-0.4822886997257781</x:v>
      </x:c>
      <x:c r="S223" s="5" t="n">
        <x:f>ABS(Q223)</x:f>
        <x:v>1119.8786718905712</x:v>
      </x:c>
      <x:c r="T223" s="6" t="n">
        <x:f>ABS(R223)</x:f>
        <x:v>0.4822886997257781</x:v>
      </x:c>
    </x:row>
    <x:row r="224">
      <x:c r="A224" s="4"/>
      <x:c r="B224" s="4" t="str">
        <x:v>Nueva Esperanza</x:v>
      </x:c>
      <x:c r="C224" s="5" t="n">
        <x:v>2068</x:v>
      </x:c>
      <x:c r="D224" s="5" t="n">
        <x:v>1704.3948561728557</x:v>
      </x:c>
      <x:c r="E224" s="5" t="n">
        <x:v>1598</x:v>
      </x:c>
      <x:c r="F224" s="5" t="n">
        <x:v>1749</x:v>
      </x:c>
      <x:c r="G224" s="5" t="n">
        <x:f>F224-$D224</x:f>
        <x:v>44.605143827144275</x:v>
      </x:c>
      <x:c r="H224" s="6" t="n">
        <x:f>G224/$D224</x:f>
        <x:v>0.026170663250711268</x:v>
      </x:c>
      <x:c r="I224" s="5" t="n">
        <x:f>ABS(G224)</x:f>
        <x:v>44.605143827144275</x:v>
      </x:c>
      <x:c r="J224" s="6" t="n">
        <x:f>ABS(H224)</x:f>
        <x:v>0.026170663250711268</x:v>
      </x:c>
      <x:c r="K224" s="5" t="n">
        <x:v>2505.4428872949047</x:v>
      </x:c>
      <x:c r="L224" s="5" t="n">
        <x:f>K224-$D224</x:f>
        <x:v>801.048031122049</x:v>
      </x:c>
      <x:c r="M224" s="6" t="n">
        <x:f>L224/$D224</x:f>
        <x:v>0.4699897023397309</x:v>
      </x:c>
      <x:c r="N224" s="5" t="n">
        <x:f>ABS(L224)</x:f>
        <x:v>801.048031122049</x:v>
      </x:c>
      <x:c r="O224" s="6" t="n">
        <x:f>ABS(M224)</x:f>
        <x:v>0.4699897023397309</x:v>
      </x:c>
      <x:c r="P224" s="5" t="n">
        <x:v>1274.334158766418</x:v>
      </x:c>
      <x:c r="Q224" s="5" t="n">
        <x:f>P224-$D224</x:f>
        <x:v>-430.0606974064376</x:v>
      </x:c>
      <x:c r="R224" s="6" t="n">
        <x:f>Q224/$D224</x:f>
        <x:v>-0.2523245689511878</x:v>
      </x:c>
      <x:c r="S224" s="5" t="n">
        <x:f>ABS(Q224)</x:f>
        <x:v>430.0606974064376</x:v>
      </x:c>
      <x:c r="T224" s="6" t="n">
        <x:f>ABS(R224)</x:f>
        <x:v>0.2523245689511878</x:v>
      </x:c>
    </x:row>
    <x:row r="225">
      <x:c r="A225" s="4"/>
      <x:c r="B225" s="4" t="str">
        <x:v>Porvenir</x:v>
      </x:c>
      <x:c r="C225" s="5" t="n">
        <x:v>7948</x:v>
      </x:c>
      <x:c r="D225" s="5" t="n">
        <x:v>8980.02747388143</x:v>
      </x:c>
      <x:c r="E225" s="5" t="n">
        <x:v>9353</x:v>
      </x:c>
      <x:c r="F225" s="5" t="n">
        <x:v>7866</x:v>
      </x:c>
      <x:c r="G225" s="5" t="n">
        <x:f>F225-$D225</x:f>
        <x:v>-1114.0274738814296</x:v>
      </x:c>
      <x:c r="H225" s="6" t="n">
        <x:f>G225/$D225</x:f>
        <x:v>-0.12405613202427258</x:v>
      </x:c>
      <x:c r="I225" s="5" t="n">
        <x:f>ABS(G225)</x:f>
        <x:v>1114.0274738814296</x:v>
      </x:c>
      <x:c r="J225" s="6" t="n">
        <x:f>ABS(H225)</x:f>
        <x:v>0.12405613202427258</x:v>
      </x:c>
      <x:c r="K225" s="5" t="n">
        <x:v>11050.608843727729</x:v>
      </x:c>
      <x:c r="L225" s="5" t="n">
        <x:f>K225-$D225</x:f>
        <x:v>2070.581369846299</x:v>
      </x:c>
      <x:c r="M225" s="6" t="n">
        <x:f>L225/$D225</x:f>
        <x:v>0.2305762845234741</x:v>
      </x:c>
      <x:c r="N225" s="5" t="n">
        <x:f>ABS(L225)</x:f>
        <x:v>2070.581369846299</x:v>
      </x:c>
      <x:c r="O225" s="6" t="n">
        <x:f>ABS(M225)</x:f>
        <x:v>0.2305762845234741</x:v>
      </x:c>
      <x:c r="P225" s="5" t="n">
        <x:v>4963.451018598327</x:v>
      </x:c>
      <x:c r="Q225" s="5" t="n">
        <x:f>P225-$D225</x:f>
        <x:v>-4016.5764552831024</x:v>
      </x:c>
      <x:c r="R225" s="6" t="n">
        <x:f>Q225/$D225</x:f>
        <x:v>-0.44727886044506954</x:v>
      </x:c>
      <x:c r="S225" s="5" t="n">
        <x:f>ABS(Q225)</x:f>
        <x:v>4016.5764552831024</x:v>
      </x:c>
      <x:c r="T225" s="6" t="n">
        <x:f>ABS(R225)</x:f>
        <x:v>0.44727886044506954</x:v>
      </x:c>
    </x:row>
    <x:row r="226">
      <x:c r="A226" s="4"/>
      <x:c r="B226" s="4" t="str">
        <x:v>Puerto Gonzalo Moreno</x:v>
      </x:c>
      <x:c r="C226" s="5" t="n">
        <x:v>8160</x:v>
      </x:c>
      <x:c r="D226" s="5" t="n">
        <x:v>11189.278654612275</x:v>
      </x:c>
      <x:c r="E226" s="5" t="n">
        <x:v>12431</x:v>
      </x:c>
      <x:c r="F226" s="5" t="n">
        <x:v>7038</x:v>
      </x:c>
      <x:c r="G226" s="5" t="n">
        <x:f>F226-$D226</x:f>
        <x:v>-4151.278654612275</x:v>
      </x:c>
      <x:c r="H226" s="6" t="n">
        <x:f>G226/$D226</x:f>
        <x:v>-0.37100502925638534</x:v>
      </x:c>
      <x:c r="I226" s="5" t="n">
        <x:f>ABS(G226)</x:f>
        <x:v>4151.278654612275</x:v>
      </x:c>
      <x:c r="J226" s="6" t="n">
        <x:f>ABS(H226)</x:f>
        <x:v>0.37100502925638534</x:v>
      </x:c>
      <x:c r="K226" s="5" t="n">
        <x:v>9534.545534089892</x:v>
      </x:c>
      <x:c r="L226" s="5" t="n">
        <x:f>K226-$D226</x:f>
        <x:v>-1654.7331205223836</x:v>
      </x:c>
      <x:c r="M226" s="6" t="n">
        <x:f>L226/$D226</x:f>
        <x:v>-0.14788559402265797</x:v>
      </x:c>
      <x:c r="N226" s="5" t="n">
        <x:f>ABS(L226)</x:f>
        <x:v>1654.7331205223836</x:v>
      </x:c>
      <x:c r="O226" s="6" t="n">
        <x:f>ABS(M226)</x:f>
        <x:v>0.14788559402265797</x:v>
      </x:c>
      <x:c r="P226" s="5" t="n">
        <x:v>5325.601310246333</x:v>
      </x:c>
      <x:c r="Q226" s="5" t="n">
        <x:f>P226-$D226</x:f>
        <x:v>-5863.677344365942</x:v>
      </x:c>
      <x:c r="R226" s="6" t="n">
        <x:f>Q226/$D226</x:f>
        <x:v>-0.5240442682110616</x:v>
      </x:c>
      <x:c r="S226" s="5" t="n">
        <x:f>ABS(Q226)</x:f>
        <x:v>5863.677344365942</x:v>
      </x:c>
      <x:c r="T226" s="6" t="n">
        <x:f>ABS(R226)</x:f>
        <x:v>0.5240442682110616</x:v>
      </x:c>
    </x:row>
    <x:row r="227">
      <x:c r="A227" s="4"/>
      <x:c r="B227" s="4" t="str">
        <x:v>Puerto Rico</x:v>
      </x:c>
      <x:c r="C227" s="5" t="n">
        <x:v>6239</x:v>
      </x:c>
      <x:c r="D227" s="5" t="n">
        <x:v>7067.189697425997</x:v>
      </x:c>
      <x:c r="E227" s="5" t="n">
        <x:v>7367</x:v>
      </x:c>
      <x:c r="F227" s="5" t="n">
        <x:v>10480</x:v>
      </x:c>
      <x:c r="G227" s="5" t="n">
        <x:f>F227-$D227</x:f>
        <x:v>3412.810302574003</x:v>
      </x:c>
      <x:c r="H227" s="6" t="n">
        <x:f>G227/$D227</x:f>
        <x:v>0.4829091122058054</x:v>
      </x:c>
      <x:c r="I227" s="5" t="n">
        <x:f>ABS(G227)</x:f>
        <x:v>3412.810302574003</x:v>
      </x:c>
      <x:c r="J227" s="6" t="n">
        <x:f>ABS(H227)</x:f>
        <x:v>0.4829091122058054</x:v>
      </x:c>
      <x:c r="K227" s="5" t="n">
        <x:v>8742.520309573943</x:v>
      </x:c>
      <x:c r="L227" s="5" t="n">
        <x:f>K227-$D227</x:f>
        <x:v>1675.3306121479463</x:v>
      </x:c>
      <x:c r="M227" s="6" t="n">
        <x:f>L227/$D227</x:f>
        <x:v>0.23705754109842744</x:v>
      </x:c>
      <x:c r="N227" s="5" t="n">
        <x:f>ABS(L227)</x:f>
        <x:v>1675.3306121479463</x:v>
      </x:c>
      <x:c r="O227" s="6" t="n">
        <x:f>ABS(M227)</x:f>
        <x:v>0.23705754109842744</x:v>
      </x:c>
      <x:c r="P227" s="5" t="n">
        <x:v>3887.983392117072</x:v>
      </x:c>
      <x:c r="Q227" s="5" t="n">
        <x:f>P227-$D227</x:f>
        <x:v>-3179.206305308925</x:v>
      </x:c>
      <x:c r="R227" s="6" t="n">
        <x:f>Q227/$D227</x:f>
        <x:v>-0.44985438928671345</x:v>
      </x:c>
      <x:c r="S227" s="5" t="n">
        <x:f>ABS(Q227)</x:f>
        <x:v>3179.206305308925</x:v>
      </x:c>
      <x:c r="T227" s="6" t="n">
        <x:f>ABS(R227)</x:f>
        <x:v>0.44985438928671345</x:v>
      </x:c>
    </x:row>
    <x:row r="228">
      <x:c r="A228" s="4"/>
      <x:c r="B228" s="4" t="str">
        <x:v>San Lorenzo</x:v>
      </x:c>
      <x:c r="C228" s="5" t="n">
        <x:v>7652</x:v>
      </x:c>
      <x:c r="D228" s="5" t="n">
        <x:v>9234.74999753754</x:v>
      </x:c>
      <x:c r="E228" s="5" t="n">
        <x:v>9832</x:v>
      </x:c>
      <x:c r="F228" s="5" t="n">
        <x:v>9016</x:v>
      </x:c>
      <x:c r="G228" s="5" t="n">
        <x:f>F228-$D228</x:f>
        <x:v>-218.74999753753946</x:v>
      </x:c>
      <x:c r="H228" s="6" t="n">
        <x:f>G228/$D228</x:f>
        <x:v>-0.023687701085126234</x:v>
      </x:c>
      <x:c r="I228" s="5" t="n">
        <x:f>ABS(G228)</x:f>
        <x:v>218.74999753753946</x:v>
      </x:c>
      <x:c r="J228" s="6" t="n">
        <x:f>ABS(H228)</x:f>
        <x:v>0.023687701085126234</x:v>
      </x:c>
      <x:c r="K228" s="5" t="n">
        <x:v>11025.031576367135</x:v>
      </x:c>
      <x:c r="L228" s="5" t="n">
        <x:f>K228-$D228</x:f>
        <x:v>1790.2815788295957</x:v>
      </x:c>
      <x:c r="M228" s="6" t="n">
        <x:f>L228/$D228</x:f>
        <x:v>0.1938635674281358</x:v>
      </x:c>
      <x:c r="N228" s="5" t="n">
        <x:f>ABS(L228)</x:f>
        <x:v>1790.2815788295957</x:v>
      </x:c>
      <x:c r="O228" s="6" t="n">
        <x:f>ABS(M228)</x:f>
        <x:v>0.1938635674281358</x:v>
      </x:c>
      <x:c r="P228" s="5" t="n">
        <x:v>4839.08605258161</x:v>
      </x:c>
      <x:c r="Q228" s="5" t="n">
        <x:f>P228-$D228</x:f>
        <x:v>-4395.66394495593</x:v>
      </x:c>
      <x:c r="R228" s="6" t="n">
        <x:f>Q228/$D228</x:f>
        <x:v>-0.4759916560955132</x:v>
      </x:c>
      <x:c r="S228" s="5" t="n">
        <x:f>ABS(Q228)</x:f>
        <x:v>4395.66394495593</x:v>
      </x:c>
      <x:c r="T228" s="6" t="n">
        <x:f>ABS(R228)</x:f>
        <x:v>0.4759916560955132</x:v>
      </x:c>
    </x:row>
    <x:row r="229">
      <x:c r="A229" s="4"/>
      <x:c r="B229" s="4" t="str">
        <x:v>San Pedro</x:v>
      </x:c>
      <x:c r="C229" s="5" t="n">
        <x:v>2991</x:v>
      </x:c>
      <x:c r="D229" s="5" t="n">
        <x:v>3378.1270532352733</x:v>
      </x:c>
      <x:c r="E229" s="5" t="n">
        <x:v>3518</x:v>
      </x:c>
      <x:c r="F229" s="5" t="n">
        <x:v>1710</x:v>
      </x:c>
      <x:c r="G229" s="5" t="n">
        <x:f>F229-$D229</x:f>
        <x:v>-1668.1270532352733</x:v>
      </x:c>
      <x:c r="H229" s="6" t="n">
        <x:f>G229/$D229</x:f>
        <x:v>-0.49380234282120555</x:v>
      </x:c>
      <x:c r="I229" s="5" t="n">
        <x:f>ABS(G229)</x:f>
        <x:v>1668.1270532352733</x:v>
      </x:c>
      <x:c r="J229" s="6" t="n">
        <x:f>ABS(H229)</x:f>
        <x:v>0.49380234282120555</x:v>
      </x:c>
      <x:c r="K229" s="5" t="n">
        <x:v>1792.4486535476178</x:v>
      </x:c>
      <x:c r="L229" s="5" t="n">
        <x:f>K229-$D229</x:f>
        <x:v>-1585.6783996876554</x:v>
      </x:c>
      <x:c r="M229" s="6" t="n">
        <x:f>L229/$D229</x:f>
        <x:v>-0.4693957257081352</x:v>
      </x:c>
      <x:c r="N229" s="5" t="n">
        <x:f>ABS(L229)</x:f>
        <x:v>1585.6783996876554</x:v>
      </x:c>
      <x:c r="O229" s="6" t="n">
        <x:f>ABS(M229)</x:f>
        <x:v>0.4693957257081352</x:v>
      </x:c>
      <x:c r="P229" s="5" t="n">
        <x:v>1430.962109967717</x:v>
      </x:c>
      <x:c r="Q229" s="5" t="n">
        <x:f>P229-$D229</x:f>
        <x:v>-1947.1649432675563</x:v>
      </x:c>
      <x:c r="R229" s="6" t="n">
        <x:f>Q229/$D229</x:f>
        <x:v>-0.5764037031711796</x:v>
      </x:c>
      <x:c r="S229" s="5" t="n">
        <x:f>ABS(Q229)</x:f>
        <x:v>1947.1649432675563</x:v>
      </x:c>
      <x:c r="T229" s="6" t="n">
        <x:f>ABS(R229)</x:f>
        <x:v>0.5764037031711796</x:v>
      </x:c>
    </x:row>
    <x:row r="230">
      <x:c r="A230" s="4"/>
      <x:c r="B230" s="4" t="str">
        <x:v>Santa Rosa</x:v>
      </x:c>
      <x:c r="C230" s="5" t="n">
        <x:v>2395</x:v>
      </x:c>
      <x:c r="D230" s="5" t="n">
        <x:v>2756.6843189315096</x:v>
      </x:c>
      <x:c r="E230" s="5" t="n">
        <x:v>2889</x:v>
      </x:c>
      <x:c r="F230" s="5" t="n">
        <x:v>2651</x:v>
      </x:c>
      <x:c r="G230" s="5" t="n">
        <x:f>F230-$D230</x:f>
        <x:v>-105.68431893150955</x:v>
      </x:c>
      <x:c r="H230" s="6" t="n">
        <x:f>G230/$D230</x:f>
        <x:v>-0.038337476005403756</x:v>
      </x:c>
      <x:c r="I230" s="5" t="n">
        <x:f>ABS(G230)</x:f>
        <x:v>105.68431893150955</x:v>
      </x:c>
      <x:c r="J230" s="6" t="n">
        <x:f>ABS(H230)</x:f>
        <x:v>0.038337476005403756</x:v>
      </x:c>
      <x:c r="K230" s="5" t="n">
        <x:v>5168.354297273711</x:v>
      </x:c>
      <x:c r="L230" s="5" t="n">
        <x:f>K230-$D230</x:f>
        <x:v>2411.669978342202</x:v>
      </x:c>
      <x:c r="M230" s="6" t="n">
        <x:f>L230/$D230</x:f>
        <x:v>0.8748444505524539</x:v>
      </x:c>
      <x:c r="N230" s="5" t="n">
        <x:f>ABS(L230)</x:f>
        <x:v>2411.669978342202</x:v>
      </x:c>
      <x:c r="O230" s="6" t="n">
        <x:f>ABS(M230)</x:f>
        <x:v>0.8748444505524539</x:v>
      </x:c>
      <x:c r="P230" s="5" t="n">
        <x:v>1601.5880810941453</x:v>
      </x:c>
      <x:c r="Q230" s="5" t="n">
        <x:f>P230-$D230</x:f>
        <x:v>-1155.0962378373642</x:v>
      </x:c>
      <x:c r="R230" s="6" t="n">
        <x:f>Q230/$D230</x:f>
        <x:v>-0.4190165083120868</x:v>
      </x:c>
      <x:c r="S230" s="5" t="n">
        <x:f>ABS(Q230)</x:f>
        <x:v>1155.0962378373642</x:v>
      </x:c>
      <x:c r="T230" s="6" t="n">
        <x:f>ABS(R230)</x:f>
        <x:v>0.4190165083120868</x:v>
      </x:c>
    </x:row>
    <x:row r="231">
      <x:c r="A231" s="4"/>
      <x:c r="B231" s="4" t="str">
        <x:v>Santos Mercado</x:v>
      </x:c>
      <x:c r="C231" s="5" t="n">
        <x:v>2165</x:v>
      </x:c>
      <x:c r="D231" s="5" t="n">
        <x:v>2300.1136344914376</x:v>
      </x:c>
      <x:c r="E231" s="5" t="n">
        <x:v>2347</x:v>
      </x:c>
      <x:c r="F231" s="5" t="n">
        <x:v>2608</x:v>
      </x:c>
      <x:c r="G231" s="5" t="n">
        <x:f>F231-$D231</x:f>
        <x:v>307.88636550856245</x:v>
      </x:c>
      <x:c r="H231" s="6" t="n">
        <x:f>G231/$D231</x:f>
        <x:v>0.13385702379727735</x:v>
      </x:c>
      <x:c r="I231" s="5" t="n">
        <x:f>ABS(G231)</x:f>
        <x:v>307.88636550856245</x:v>
      </x:c>
      <x:c r="J231" s="6" t="n">
        <x:f>ABS(H231)</x:f>
        <x:v>0.13385702379727735</x:v>
      </x:c>
      <x:c r="K231" s="5" t="n">
        <x:v>3414.3903501211</x:v>
      </x:c>
      <x:c r="L231" s="5" t="n">
        <x:f>K231-$D231</x:f>
        <x:v>1114.2767156296622</x:v>
      </x:c>
      <x:c r="M231" s="6" t="n">
        <x:f>L231/$D231</x:f>
        <x:v>0.48444420263437654</x:v>
      </x:c>
      <x:c r="N231" s="5" t="n">
        <x:f>ABS(L231)</x:f>
        <x:v>1114.2767156296622</x:v>
      </x:c>
      <x:c r="O231" s="6" t="n">
        <x:f>ABS(M231)</x:f>
        <x:v>0.48444420263437654</x:v>
      </x:c>
      <x:c r="P231" s="5" t="n">
        <x:v>1365.5969854338618</x:v>
      </x:c>
      <x:c r="Q231" s="5" t="n">
        <x:f>P231-$D231</x:f>
        <x:v>-934.5166490575757</x:v>
      </x:c>
      <x:c r="R231" s="6" t="n">
        <x:f>Q231/$D231</x:f>
        <x:v>-0.40629151318613016</x:v>
      </x:c>
      <x:c r="S231" s="5" t="n">
        <x:f>ABS(Q231)</x:f>
        <x:v>934.5166490575757</x:v>
      </x:c>
      <x:c r="T231" s="6" t="n">
        <x:f>ABS(R231)</x:f>
        <x:v>0.40629151318613016</x:v>
      </x:c>
    </x:row>
    <x:row r="232">
      <x:c r="A232" s="4"/>
      <x:c r="B232" s="4" t="str">
        <x:v>Sena</x:v>
      </x:c>
      <x:c r="C232" s="5" t="n">
        <x:v>8258</x:v>
      </x:c>
      <x:c r="D232" s="5" t="n">
        <x:v>9903.585213371085</x:v>
      </x:c>
      <x:c r="E232" s="5" t="n">
        <x:v>10522</x:v>
      </x:c>
      <x:c r="F232" s="5" t="n">
        <x:v>7899</x:v>
      </x:c>
      <x:c r="G232" s="5" t="n">
        <x:f>F232-$D232</x:f>
        <x:v>-2004.585213371085</x:v>
      </x:c>
      <x:c r="H232" s="6" t="n">
        <x:f>G232/$D232</x:f>
        <x:v>-0.20241005354956132</x:v>
      </x:c>
      <x:c r="I232" s="5" t="n">
        <x:f>ABS(G232)</x:f>
        <x:v>2004.585213371085</x:v>
      </x:c>
      <x:c r="J232" s="6" t="n">
        <x:f>ABS(H232)</x:f>
        <x:v>0.20241005354956132</x:v>
      </x:c>
      <x:c r="K232" s="5" t="n">
        <x:v>12593.949832951042</x:v>
      </x:c>
      <x:c r="L232" s="5" t="n">
        <x:f>K232-$D232</x:f>
        <x:v>2690.3646195799574</x:v>
      </x:c>
      <x:c r="M232" s="6" t="n">
        <x:f>L232/$D232</x:f>
        <x:v>0.2716556238590876</x:v>
      </x:c>
      <x:c r="N232" s="5" t="n">
        <x:f>ABS(L232)</x:f>
        <x:v>2690.3646195799574</x:v>
      </x:c>
      <x:c r="O232" s="6" t="n">
        <x:f>ABS(M232)</x:f>
        <x:v>0.2716556238590876</x:v>
      </x:c>
      <x:c r="P232" s="5" t="n">
        <x:v>5045.3083952475135</x:v>
      </x:c>
      <x:c r="Q232" s="5" t="n">
        <x:f>P232-$D232</x:f>
        <x:v>-4858.2768181235715</x:v>
      </x:c>
      <x:c r="R232" s="6" t="n">
        <x:f>Q232/$D232</x:f>
        <x:v>-0.49055738032771073</x:v>
      </x:c>
      <x:c r="S232" s="5" t="n">
        <x:f>ABS(Q232)</x:f>
        <x:v>4858.2768181235715</x:v>
      </x:c>
      <x:c r="T232" s="6" t="n">
        <x:f>ABS(R232)</x:f>
        <x:v>0.49055738032771073</x:v>
      </x:c>
    </x:row>
    <x:row r="233">
      <x:c r="A233" s="4"/>
      <x:c r="B233" s="4" t="str">
        <x:v>Villa Nueva</x:v>
      </x:c>
      <x:c r="C233" s="5" t="n">
        <x:v>2801</x:v>
      </x:c>
      <x:c r="D233" s="5" t="n">
        <x:v>2580.5561409221245</x:v>
      </x:c>
      <x:c r="E233" s="5" t="n">
        <x:v>2511</x:v>
      </x:c>
      <x:c r="F233" s="5" t="n">
        <x:v>3096</x:v>
      </x:c>
      <x:c r="G233" s="5" t="n">
        <x:f>F233-$D233</x:f>
        <x:v>515.4438590778755</x:v>
      </x:c>
      <x:c r="H233" s="6" t="n">
        <x:f>G233/$D233</x:f>
        <x:v>0.1997413855502051</x:v>
      </x:c>
      <x:c r="I233" s="5" t="n">
        <x:f>ABS(G233)</x:f>
        <x:v>515.4438590778755</x:v>
      </x:c>
      <x:c r="J233" s="6" t="n">
        <x:f>ABS(H233)</x:f>
        <x:v>0.1997413855502051</x:v>
      </x:c>
      <x:c r="K233" s="5" t="n">
        <x:v>2965.393199802695</x:v>
      </x:c>
      <x:c r="L233" s="5" t="n">
        <x:f>K233-$D233</x:f>
        <x:v>384.83705888057057</x:v>
      </x:c>
      <x:c r="M233" s="6" t="n">
        <x:f>L233/$D233</x:f>
        <x:v>0.14912950459704186</x:v>
      </x:c>
      <x:c r="N233" s="5" t="n">
        <x:f>ABS(L233)</x:f>
        <x:v>384.83705888057057</x:v>
      </x:c>
      <x:c r="O233" s="6" t="n">
        <x:f>ABS(M233)</x:f>
        <x:v>0.14912950459704186</x:v>
      </x:c>
      <x:c r="P233" s="5" t="n">
        <x:v>2084.686448617358</x:v>
      </x:c>
      <x:c r="Q233" s="5" t="n">
        <x:f>P233-$D233</x:f>
        <x:v>-495.86969230476643</x:v>
      </x:c>
      <x:c r="R233" s="6" t="n">
        <x:f>Q233/$D233</x:f>
        <x:v>-0.19215613426940387</x:v>
      </x:c>
      <x:c r="S233" s="5" t="n">
        <x:f>ABS(Q233)</x:f>
        <x:v>495.86969230476643</x:v>
      </x:c>
      <x:c r="T233" s="6" t="n">
        <x:f>ABS(R233)</x:f>
        <x:v>0.19215613426940387</x:v>
      </x:c>
    </x:row>
    <x:row r="234">
      <x:c r="A234" s="4"/>
      <x:c r="B234" s="4" t="str">
        <x:v>Acasio</x:v>
      </x:c>
      <x:c r="C234" s="5" t="n">
        <x:v>6161</x:v>
      </x:c>
      <x:c r="D234" s="5" t="n">
        <x:v>4844.135744132721</x:v>
      </x:c>
      <x:c r="E234" s="5" t="n">
        <x:v>4471</x:v>
      </x:c>
      <x:c r="F234" s="5" t="n">
        <x:v>5646</x:v>
      </x:c>
      <x:c r="G234" s="5" t="n">
        <x:f>F234-$D234</x:f>
        <x:v>801.8642558672791</x:v>
      </x:c>
      <x:c r="H234" s="6" t="n">
        <x:f>G234/$D234</x:f>
        <x:v>0.16553298632031674</x:v>
      </x:c>
      <x:c r="I234" s="5" t="n">
        <x:f>ABS(G234)</x:f>
        <x:v>801.8642558672791</x:v>
      </x:c>
      <x:c r="J234" s="6" t="n">
        <x:f>ABS(H234)</x:f>
        <x:v>0.16553298632031674</x:v>
      </x:c>
      <x:c r="K234" s="5" t="n">
        <x:v>7335.591033419989</x:v>
      </x:c>
      <x:c r="L234" s="5" t="n">
        <x:f>K234-$D234</x:f>
        <x:v>2491.455289287268</x:v>
      </x:c>
      <x:c r="M234" s="6" t="n">
        <x:f>L234/$D234</x:f>
        <x:v>0.5143240034726423</x:v>
      </x:c>
      <x:c r="N234" s="5" t="n">
        <x:f>ABS(L234)</x:f>
        <x:v>2491.455289287268</x:v>
      </x:c>
      <x:c r="O234" s="6" t="n">
        <x:f>ABS(M234)</x:f>
        <x:v>0.5143240034726423</x:v>
      </x:c>
      <x:c r="P234" s="5" t="n">
        <x:v>6901.220446046384</x:v>
      </x:c>
      <x:c r="Q234" s="5" t="n">
        <x:f>P234-$D234</x:f>
        <x:v>2057.0847019136627</x:v>
      </x:c>
      <x:c r="R234" s="6" t="n">
        <x:f>Q234/$D234</x:f>
        <x:v>0.42465463615573323</x:v>
      </x:c>
      <x:c r="S234" s="5" t="n">
        <x:f>ABS(Q234)</x:f>
        <x:v>2057.0847019136627</x:v>
      </x:c>
      <x:c r="T234" s="6" t="n">
        <x:f>ABS(R234)</x:f>
        <x:v>0.42465463615573323</x:v>
      </x:c>
    </x:row>
    <x:row r="235">
      <x:c r="A235" s="4"/>
      <x:c r="B235" s="4" t="str">
        <x:v>Arampampa</x:v>
      </x:c>
      <x:c r="C235" s="5" t="n">
        <x:v>4170</x:v>
      </x:c>
      <x:c r="D235" s="5" t="n">
        <x:v>3785.980381864616</x:v>
      </x:c>
      <x:c r="E235" s="5" t="n">
        <x:v>3666</x:v>
      </x:c>
      <x:c r="F235" s="5" t="n">
        <x:v>4771</x:v>
      </x:c>
      <x:c r="G235" s="5" t="n">
        <x:f>F235-$D235</x:f>
        <x:v>985.019618135384</x:v>
      </x:c>
      <x:c r="H235" s="6" t="n">
        <x:f>G235/$D235</x:f>
        <x:v>0.2601755737704738</x:v>
      </x:c>
      <x:c r="I235" s="5" t="n">
        <x:f>ABS(G235)</x:f>
        <x:v>985.019618135384</x:v>
      </x:c>
      <x:c r="J235" s="6" t="n">
        <x:f>ABS(H235)</x:f>
        <x:v>0.2601755737704738</x:v>
      </x:c>
      <x:c r="K235" s="5" t="n">
        <x:v>4827.068793707519</x:v>
      </x:c>
      <x:c r="L235" s="5" t="n">
        <x:f>K235-$D235</x:f>
        <x:v>1041.088411842903</x:v>
      </x:c>
      <x:c r="M235" s="6" t="n">
        <x:f>L235/$D235</x:f>
        <x:v>0.2749851575644355</x:v>
      </x:c>
      <x:c r="N235" s="5" t="n">
        <x:f>ABS(L235)</x:f>
        <x:v>1041.088411842903</x:v>
      </x:c>
      <x:c r="O235" s="6" t="n">
        <x:f>ABS(M235)</x:f>
        <x:v>0.2749851575644355</x:v>
      </x:c>
      <x:c r="P235" s="5" t="n">
        <x:v>4163.425859816278</x:v>
      </x:c>
      <x:c r="Q235" s="5" t="n">
        <x:f>P235-$D235</x:f>
        <x:v>377.4454779516618</x:v>
      </x:c>
      <x:c r="R235" s="6" t="n">
        <x:f>Q235/$D235</x:f>
        <x:v>0.09969557152479692</x:v>
      </x:c>
      <x:c r="S235" s="5" t="n">
        <x:f>ABS(Q235)</x:f>
        <x:v>377.4454779516618</x:v>
      </x:c>
      <x:c r="T235" s="6" t="n">
        <x:f>ABS(R235)</x:f>
        <x:v>0.09969557152479692</x:v>
      </x:c>
    </x:row>
    <x:row r="236">
      <x:c r="A236" s="4"/>
      <x:c r="B236" s="4" t="str">
        <x:v>Atocha</x:v>
      </x:c>
      <x:c r="C236" s="5" t="n">
        <x:v>11234</x:v>
      </x:c>
      <x:c r="D236" s="5" t="n">
        <x:v>9992.545757369753</x:v>
      </x:c>
      <x:c r="E236" s="5" t="n">
        <x:v>9610</x:v>
      </x:c>
      <x:c r="F236" s="5" t="n">
        <x:v>12710</x:v>
      </x:c>
      <x:c r="G236" s="5" t="n">
        <x:f>F236-$D236</x:f>
        <x:v>2717.454242630247</x:v>
      </x:c>
      <x:c r="H236" s="6" t="n">
        <x:f>G236/$D236</x:f>
        <x:v>0.2719481410056147</x:v>
      </x:c>
      <x:c r="I236" s="5" t="n">
        <x:f>ABS(G236)</x:f>
        <x:v>2717.454242630247</x:v>
      </x:c>
      <x:c r="J236" s="6" t="n">
        <x:f>ABS(H236)</x:f>
        <x:v>0.2719481410056147</x:v>
      </x:c>
      <x:c r="K236" s="5" t="n">
        <x:v>9067.773660002713</x:v>
      </x:c>
      <x:c r="L236" s="5" t="n">
        <x:f>K236-$D236</x:f>
        <x:v>-924.7720973670403</x:v>
      </x:c>
      <x:c r="M236" s="6" t="n">
        <x:f>L236/$D236</x:f>
        <x:v>-0.09254619591659088</x:v>
      </x:c>
      <x:c r="N236" s="5" t="n">
        <x:f>ABS(L236)</x:f>
        <x:v>924.7720973670403</x:v>
      </x:c>
      <x:c r="O236" s="6" t="n">
        <x:f>ABS(M236)</x:f>
        <x:v>0.09254619591659088</x:v>
      </x:c>
      <x:c r="P236" s="5" t="n">
        <x:v>22087.97152213275</x:v>
      </x:c>
      <x:c r="Q236" s="5" t="n">
        <x:f>P236-$D236</x:f>
        <x:v>12095.425764762997</x:v>
      </x:c>
      <x:c r="R236" s="6" t="n">
        <x:f>Q236/$D236</x:f>
        <x:v>1.2104448714525342</x:v>
      </x:c>
      <x:c r="S236" s="5" t="n">
        <x:f>ABS(Q236)</x:f>
        <x:v>12095.425764762997</x:v>
      </x:c>
      <x:c r="T236" s="6" t="n">
        <x:f>ABS(R236)</x:f>
        <x:v>1.2104448714525342</x:v>
      </x:c>
    </x:row>
    <x:row r="237">
      <x:c r="A237" s="4"/>
      <x:c r="B237" s="4" t="str">
        <x:v>Betanzos</x:v>
      </x:c>
      <x:c r="C237" s="5" t="n">
        <x:v>33922</x:v>
      </x:c>
      <x:c r="D237" s="5" t="n">
        <x:v>32396.956661857464</x:v>
      </x:c>
      <x:c r="E237" s="5" t="n">
        <x:v>31904</x:v>
      </x:c>
      <x:c r="F237" s="5" t="n">
        <x:v>32648</x:v>
      </x:c>
      <x:c r="G237" s="5" t="n">
        <x:f>F237-$D237</x:f>
        <x:v>251.0433381425355</x:v>
      </x:c>
      <x:c r="H237" s="6" t="n">
        <x:f>G237/$D237</x:f>
        <x:v>0.0077489790403090925</x:v>
      </x:c>
      <x:c r="I237" s="5" t="n">
        <x:f>ABS(G237)</x:f>
        <x:v>251.0433381425355</x:v>
      </x:c>
      <x:c r="J237" s="6" t="n">
        <x:f>ABS(H237)</x:f>
        <x:v>0.0077489790403090925</x:v>
      </x:c>
      <x:c r="K237" s="5" t="n">
        <x:v>35977.43890176854</x:v>
      </x:c>
      <x:c r="L237" s="5" t="n">
        <x:f>K237-$D237</x:f>
        <x:v>3580.4822399110744</x:v>
      </x:c>
      <x:c r="M237" s="6" t="n">
        <x:f>L237/$D237</x:f>
        <x:v>0.11051909218764838</x:v>
      </x:c>
      <x:c r="N237" s="5" t="n">
        <x:f>ABS(L237)</x:f>
        <x:v>3580.4822399110744</x:v>
      </x:c>
      <x:c r="O237" s="6" t="n">
        <x:f>ABS(M237)</x:f>
        <x:v>0.11051909218764838</x:v>
      </x:c>
      <x:c r="P237" s="5" t="n">
        <x:v>29104.77443251494</x:v>
      </x:c>
      <x:c r="Q237" s="5" t="n">
        <x:f>P237-$D237</x:f>
        <x:v>-3292.182229342525</x:v>
      </x:c>
      <x:c r="R237" s="6" t="n">
        <x:f>Q237/$D237</x:f>
        <x:v>-0.10162010783002261</x:v>
      </x:c>
      <x:c r="S237" s="5" t="n">
        <x:f>ABS(Q237)</x:f>
        <x:v>3292.182229342525</x:v>
      </x:c>
      <x:c r="T237" s="6" t="n">
        <x:f>ABS(R237)</x:f>
        <x:v>0.10162010783002261</x:v>
      </x:c>
    </x:row>
    <x:row r="238">
      <x:c r="A238" s="4"/>
      <x:c r="B238" s="4" t="str">
        <x:v>Caiza "D"</x:v>
      </x:c>
      <x:c r="C238" s="5" t="n">
        <x:v>12067</x:v>
      </x:c>
      <x:c r="D238" s="5" t="n">
        <x:v>12759.45974251864</x:v>
      </x:c>
      <x:c r="E238" s="5" t="n">
        <x:v>12999</x:v>
      </x:c>
      <x:c r="F238" s="5" t="n">
        <x:v>10567</x:v>
      </x:c>
      <x:c r="G238" s="5" t="n">
        <x:f>F238-$D238</x:f>
        <x:v>-2192.4597425186403</x:v>
      </x:c>
      <x:c r="H238" s="6" t="n">
        <x:f>G238/$D238</x:f>
        <x:v>-0.17183013910946843</x:v>
      </x:c>
      <x:c r="I238" s="5" t="n">
        <x:f>ABS(G238)</x:f>
        <x:v>2192.4597425186403</x:v>
      </x:c>
      <x:c r="J238" s="6" t="n">
        <x:f>ABS(H238)</x:f>
        <x:v>0.17183013910946843</x:v>
      </x:c>
      <x:c r="K238" s="5" t="n">
        <x:v>10138.684367121665</x:v>
      </x:c>
      <x:c r="L238" s="5" t="n">
        <x:f>K238-$D238</x:f>
        <x:v>-2620.7753753969755</x:v>
      </x:c>
      <x:c r="M238" s="6" t="n">
        <x:f>L238/$D238</x:f>
        <x:v>-0.20539861626458256</x:v>
      </x:c>
      <x:c r="N238" s="5" t="n">
        <x:f>ABS(L238)</x:f>
        <x:v>2620.7753753969755</x:v>
      </x:c>
      <x:c r="O238" s="6" t="n">
        <x:f>ABS(M238)</x:f>
        <x:v>0.20539861626458256</x:v>
      </x:c>
      <x:c r="P238" s="5" t="n">
        <x:v>17172.203300846362</x:v>
      </x:c>
      <x:c r="Q238" s="5" t="n">
        <x:f>P238-$D238</x:f>
        <x:v>4412.743558327722</x:v>
      </x:c>
      <x:c r="R238" s="6" t="n">
        <x:f>Q238/$D238</x:f>
        <x:v>0.34584094055511105</x:v>
      </x:c>
      <x:c r="S238" s="5" t="n">
        <x:f>ABS(Q238)</x:f>
        <x:v>4412.743558327722</x:v>
      </x:c>
      <x:c r="T238" s="6" t="n">
        <x:f>ABS(R238)</x:f>
        <x:v>0.34584094055511105</x:v>
      </x:c>
    </x:row>
    <x:row r="239">
      <x:c r="A239" s="4"/>
      <x:c r="B239" s="4" t="str">
        <x:v>Caripuyo</x:v>
      </x:c>
      <x:c r="C239" s="5" t="n">
        <x:v>8704</x:v>
      </x:c>
      <x:c r="D239" s="5" t="n">
        <x:v>8518.840387427663</x:v>
      </x:c>
      <x:c r="E239" s="5" t="n">
        <x:v>8458</x:v>
      </x:c>
      <x:c r="F239" s="5" t="n">
        <x:v>9193</x:v>
      </x:c>
      <x:c r="G239" s="5" t="n">
        <x:f>F239-$D239</x:f>
        <x:v>674.1596125723372</x:v>
      </x:c>
      <x:c r="H239" s="6" t="n">
        <x:f>G239/$D239</x:f>
        <x:v>0.07913748607935892</x:v>
      </x:c>
      <x:c r="I239" s="5" t="n">
        <x:f>ABS(G239)</x:f>
        <x:v>674.1596125723372</x:v>
      </x:c>
      <x:c r="J239" s="6" t="n">
        <x:f>ABS(H239)</x:f>
        <x:v>0.07913748607935892</x:v>
      </x:c>
      <x:c r="K239" s="5" t="n">
        <x:v>8802.241741541493</x:v>
      </x:c>
      <x:c r="L239" s="5" t="n">
        <x:f>K239-$D239</x:f>
        <x:v>283.40135411383017</x:v>
      </x:c>
      <x:c r="M239" s="6" t="n">
        <x:f>L239/$D239</x:f>
        <x:v>0.03326759761012563</x:v>
      </x:c>
      <x:c r="N239" s="5" t="n">
        <x:f>ABS(L239)</x:f>
        <x:v>283.40135411383017</x:v>
      </x:c>
      <x:c r="O239" s="6" t="n">
        <x:f>ABS(M239)</x:f>
        <x:v>0.03326759761012563</x:v>
      </x:c>
      <x:c r="P239" s="5" t="n">
        <x:v>6533.0021599711945</x:v>
      </x:c>
      <x:c r="Q239" s="5" t="n">
        <x:f>P239-$D239</x:f>
        <x:v>-1985.8382274564683</x:v>
      </x:c>
      <x:c r="R239" s="6" t="n">
        <x:f>Q239/$D239</x:f>
        <x:v>-0.23311133172388376</x:v>
      </x:c>
      <x:c r="S239" s="5" t="n">
        <x:f>ABS(Q239)</x:f>
        <x:v>1985.8382274564683</x:v>
      </x:c>
      <x:c r="T239" s="6" t="n">
        <x:f>ABS(R239)</x:f>
        <x:v>0.23311133172388376</x:v>
      </x:c>
    </x:row>
    <x:row r="240">
      <x:c r="A240" s="4"/>
      <x:c r="B240" s="4" t="str">
        <x:v>Chaquí</x:v>
      </x:c>
      <x:c r="C240" s="5" t="n">
        <x:v>9910</x:v>
      </x:c>
      <x:c r="D240" s="5" t="n">
        <x:v>9437.453932030487</x:v>
      </x:c>
      <x:c r="E240" s="5" t="n">
        <x:v>9285</x:v>
      </x:c>
      <x:c r="F240" s="5" t="n">
        <x:v>8770</x:v>
      </x:c>
      <x:c r="G240" s="5" t="n">
        <x:f>F240-$D240</x:f>
        <x:v>-667.4539320304866</x:v>
      </x:c>
      <x:c r="H240" s="6" t="n">
        <x:f>G240/$D240</x:f>
        <x:v>-0.07072394067696207</x:v>
      </x:c>
      <x:c r="I240" s="5" t="n">
        <x:f>ABS(G240)</x:f>
        <x:v>667.4539320304866</x:v>
      </x:c>
      <x:c r="J240" s="6" t="n">
        <x:f>ABS(H240)</x:f>
        <x:v>0.07072394067696207</x:v>
      </x:c>
      <x:c r="K240" s="5" t="n">
        <x:v>13727.39502357072</x:v>
      </x:c>
      <x:c r="L240" s="5" t="n">
        <x:f>K240-$D240</x:f>
        <x:v>4289.941091540233</x:v>
      </x:c>
      <x:c r="M240" s="6" t="n">
        <x:f>L240/$D240</x:f>
        <x:v>0.4545655133722326</x:v>
      </x:c>
      <x:c r="N240" s="5" t="n">
        <x:f>ABS(L240)</x:f>
        <x:v>4289.941091540233</x:v>
      </x:c>
      <x:c r="O240" s="6" t="n">
        <x:f>ABS(M240)</x:f>
        <x:v>0.4545655133722326</x:v>
      </x:c>
      <x:c r="P240" s="5" t="n">
        <x:v>19055.509575791453</x:v>
      </x:c>
      <x:c r="Q240" s="5" t="n">
        <x:f>P240-$D240</x:f>
        <x:v>9618.055643760967</x:v>
      </x:c>
      <x:c r="R240" s="6" t="n">
        <x:f>Q240/$D240</x:f>
        <x:v>1.0191366986298627</x:v>
      </x:c>
      <x:c r="S240" s="5" t="n">
        <x:f>ABS(Q240)</x:f>
        <x:v>9618.055643760967</x:v>
      </x:c>
      <x:c r="T240" s="6" t="n">
        <x:f>ABS(R240)</x:f>
        <x:v>1.0191366986298627</x:v>
      </x:c>
    </x:row>
    <x:row r="241">
      <x:c r="A241" s="4"/>
      <x:c r="B241" s="4" t="str">
        <x:v>Chayanta</x:v>
      </x:c>
      <x:c r="C241" s="5" t="n">
        <x:v>16129</x:v>
      </x:c>
      <x:c r="D241" s="5" t="n">
        <x:v>16047.932012994454</x:v>
      </x:c>
      <x:c r="E241" s="5" t="n">
        <x:v>16021</x:v>
      </x:c>
      <x:c r="F241" s="5" t="n">
        <x:v>16256</x:v>
      </x:c>
      <x:c r="G241" s="5" t="n">
        <x:f>F241-$D241</x:f>
        <x:v>208.06798700554646</x:v>
      </x:c>
      <x:c r="H241" s="6" t="n">
        <x:f>G241/$D241</x:f>
        <x:v>0.012965408056132595</x:v>
      </x:c>
      <x:c r="I241" s="5" t="n">
        <x:f>ABS(G241)</x:f>
        <x:v>208.06798700554646</x:v>
      </x:c>
      <x:c r="J241" s="6" t="n">
        <x:f>ABS(H241)</x:f>
        <x:v>0.012965408056132595</x:v>
      </x:c>
      <x:c r="K241" s="5" t="n">
        <x:v>25585.26707207089</x:v>
      </x:c>
      <x:c r="L241" s="5" t="n">
        <x:f>K241-$D241</x:f>
        <x:v>9537.335059076435</x:v>
      </x:c>
      <x:c r="M241" s="6" t="n">
        <x:f>L241/$D241</x:f>
        <x:v>0.5943030573256287</x:v>
      </x:c>
      <x:c r="N241" s="5" t="n">
        <x:f>ABS(L241)</x:f>
        <x:v>9537.335059076435</x:v>
      </x:c>
      <x:c r="O241" s="6" t="n">
        <x:f>ABS(M241)</x:f>
        <x:v>0.5943030573256287</x:v>
      </x:c>
      <x:c r="P241" s="5" t="n">
        <x:v>30442.864353392277</x:v>
      </x:c>
      <x:c r="Q241" s="5" t="n">
        <x:f>P241-$D241</x:f>
        <x:v>14394.932340397823</x:v>
      </x:c>
      <x:c r="R241" s="6" t="n">
        <x:f>Q241/$D241</x:f>
        <x:v>0.8969960944962784</x:v>
      </x:c>
      <x:c r="S241" s="5" t="n">
        <x:f>ABS(Q241)</x:f>
        <x:v>14394.932340397823</x:v>
      </x:c>
      <x:c r="T241" s="6" t="n">
        <x:f>ABS(R241)</x:f>
        <x:v>0.8969960944962784</x:v>
      </x:c>
    </x:row>
    <x:row r="242">
      <x:c r="A242" s="4"/>
      <x:c r="B242" s="4" t="str">
        <x:v>Chuquihuta Ayllu Jucumani</x:v>
      </x:c>
      <x:c r="C242" s="5" t="n">
        <x:v>8019</x:v>
      </x:c>
      <x:c r="D242" s="5" t="n">
        <x:v>8169.282537083014</x:v>
      </x:c>
      <x:c r="E242" s="5" t="n">
        <x:v>8220</x:v>
      </x:c>
      <x:c r="F242" s="5" t="n">
        <x:v>8281</x:v>
      </x:c>
      <x:c r="G242" s="5" t="n">
        <x:f>F242-$D242</x:f>
        <x:v>111.71746291698582</x:v>
      </x:c>
      <x:c r="H242" s="6" t="n">
        <x:f>G242/$D242</x:f>
        <x:v>0.01367530898948153</x:v>
      </x:c>
      <x:c r="I242" s="5" t="n">
        <x:f>ABS(G242)</x:f>
        <x:v>111.71746291698582</x:v>
      </x:c>
      <x:c r="J242" s="6" t="n">
        <x:f>ABS(H242)</x:f>
        <x:v>0.01367530898948153</x:v>
      </x:c>
      <x:c r="K242" s="5" t="n">
        <x:v>13947.988252899737</x:v>
      </x:c>
      <x:c r="L242" s="5" t="n">
        <x:f>K242-$D242</x:f>
        <x:v>5778.705715816723</x:v>
      </x:c>
      <x:c r="M242" s="6" t="n">
        <x:f>L242/$D242</x:f>
        <x:v>0.7073700400965824</x:v>
      </x:c>
      <x:c r="N242" s="5" t="n">
        <x:f>ABS(L242)</x:f>
        <x:v>5778.705715816723</x:v>
      </x:c>
      <x:c r="O242" s="6" t="n">
        <x:f>ABS(M242)</x:f>
        <x:v>0.7073700400965824</x:v>
      </x:c>
      <x:c r="P242" s="5" t="n">
        <x:v>16113.729279637468</x:v>
      </x:c>
      <x:c r="Q242" s="5" t="n">
        <x:f>P242-$D242</x:f>
        <x:v>7944.4467425544535</x:v>
      </x:c>
      <x:c r="R242" s="6" t="n">
        <x:f>Q242/$D242</x:f>
        <x:v>0.9724779020057198</x:v>
      </x:c>
      <x:c r="S242" s="5" t="n">
        <x:f>ABS(Q242)</x:f>
        <x:v>7944.4467425544535</x:v>
      </x:c>
      <x:c r="T242" s="6" t="n">
        <x:f>ABS(R242)</x:f>
        <x:v>0.9724779020057198</x:v>
      </x:c>
    </x:row>
    <x:row r="243">
      <x:c r="A243" s="4"/>
      <x:c r="B243" s="4" t="str">
        <x:v>Ckochas</x:v>
      </x:c>
      <x:c r="C243" s="5" t="n">
        <x:v>15812</x:v>
      </x:c>
      <x:c r="D243" s="5" t="n">
        <x:v>14693.08981913909</x:v>
      </x:c>
      <x:c r="E243" s="5" t="n">
        <x:v>14338</x:v>
      </x:c>
      <x:c r="F243" s="5" t="n">
        <x:v>16199</x:v>
      </x:c>
      <x:c r="G243" s="5" t="n">
        <x:f>F243-$D243</x:f>
        <x:v>1505.9101808609103</x:v>
      </x:c>
      <x:c r="H243" s="6" t="n">
        <x:f>G243/$D243</x:f>
        <x:v>0.10249104847227741</x:v>
      </x:c>
      <x:c r="I243" s="5" t="n">
        <x:f>ABS(G243)</x:f>
        <x:v>1505.9101808609103</x:v>
      </x:c>
      <x:c r="J243" s="6" t="n">
        <x:f>ABS(H243)</x:f>
        <x:v>0.10249104847227741</x:v>
      </x:c>
      <x:c r="K243" s="5" t="n">
        <x:v>16334.592242448209</x:v>
      </x:c>
      <x:c r="L243" s="5" t="n">
        <x:f>K243-$D243</x:f>
        <x:v>1641.502423309119</x:v>
      </x:c>
      <x:c r="M243" s="6" t="n">
        <x:f>L243/$D243</x:f>
        <x:v>0.11171934858595313</x:v>
      </x:c>
      <x:c r="N243" s="5" t="n">
        <x:f>ABS(L243)</x:f>
        <x:v>1641.502423309119</x:v>
      </x:c>
      <x:c r="O243" s="6" t="n">
        <x:f>ABS(M243)</x:f>
        <x:v>0.11171934858595313</x:v>
      </x:c>
      <x:c r="P243" s="5" t="n">
        <x:v>13206.385971037407</x:v>
      </x:c>
      <x:c r="Q243" s="5" t="n">
        <x:f>P243-$D243</x:f>
        <x:v>-1486.7038481016825</x:v>
      </x:c>
      <x:c r="R243" s="6" t="n">
        <x:f>Q243/$D243</x:f>
        <x:v>-0.101183880749515</x:v>
      </x:c>
      <x:c r="S243" s="5" t="n">
        <x:f>ABS(Q243)</x:f>
        <x:v>1486.7038481016825</x:v>
      </x:c>
      <x:c r="T243" s="6" t="n">
        <x:f>ABS(R243)</x:f>
        <x:v>0.101183880749515</x:v>
      </x:c>
    </x:row>
    <x:row r="244">
      <x:c r="A244" s="4"/>
      <x:c r="B244" s="4" t="str">
        <x:v>Colcha "K"</x:v>
      </x:c>
      <x:c r="C244" s="5" t="n">
        <x:v>12997</x:v>
      </x:c>
      <x:c r="D244" s="5" t="n">
        <x:v>12803.769605619793</x:v>
      </x:c>
      <x:c r="E244" s="5" t="n">
        <x:v>12740</x:v>
      </x:c>
      <x:c r="F244" s="5" t="n">
        <x:v>13122</x:v>
      </x:c>
      <x:c r="G244" s="5" t="n">
        <x:f>F244-$D244</x:f>
        <x:v>318.23039438020714</x:v>
      </x:c>
      <x:c r="H244" s="6" t="n">
        <x:f>G244/$D244</x:f>
        <x:v>0.024854429920429872</x:v>
      </x:c>
      <x:c r="I244" s="5" t="n">
        <x:f>ABS(G244)</x:f>
        <x:v>318.23039438020714</x:v>
      </x:c>
      <x:c r="J244" s="6" t="n">
        <x:f>ABS(H244)</x:f>
        <x:v>0.024854429920429872</x:v>
      </x:c>
      <x:c r="K244" s="5" t="n">
        <x:v>14265.818341465643</x:v>
      </x:c>
      <x:c r="L244" s="5" t="n">
        <x:f>K244-$D244</x:f>
        <x:v>1462.0487358458504</x:v>
      </x:c>
      <x:c r="M244" s="6" t="n">
        <x:f>L244/$D244</x:f>
        <x:v>0.11418892879829173</x:v>
      </x:c>
      <x:c r="N244" s="5" t="n">
        <x:f>ABS(L244)</x:f>
        <x:v>1462.0487358458504</x:v>
      </x:c>
      <x:c r="O244" s="6" t="n">
        <x:f>ABS(M244)</x:f>
        <x:v>0.11418892879829173</x:v>
      </x:c>
      <x:c r="P244" s="5" t="n">
        <x:v>25813.36954199779</x:v>
      </x:c>
      <x:c r="Q244" s="5" t="n">
        <x:f>P244-$D244</x:f>
        <x:v>13009.599936377996</x:v>
      </x:c>
      <x:c r="R244" s="6" t="n">
        <x:f>Q244/$D244</x:f>
        <x:v>1.0160757602720265</x:v>
      </x:c>
      <x:c r="S244" s="5" t="n">
        <x:f>ABS(Q244)</x:f>
        <x:v>13009.599936377996</x:v>
      </x:c>
      <x:c r="T244" s="6" t="n">
        <x:f>ABS(R244)</x:f>
        <x:v>1.0160757602720265</x:v>
      </x:c>
    </x:row>
    <x:row r="245">
      <x:c r="A245" s="4"/>
      <x:c r="B245" s="4" t="str">
        <x:v>Colquechaca</x:v>
      </x:c>
      <x:c r="C245" s="5" t="n">
        <x:v>35199</x:v>
      </x:c>
      <x:c r="D245" s="5" t="n">
        <x:v>36817.96387707074</x:v>
      </x:c>
      <x:c r="E245" s="5" t="n">
        <x:v>37374</x:v>
      </x:c>
      <x:c r="F245" s="5" t="n">
        <x:v>35935</x:v>
      </x:c>
      <x:c r="G245" s="5" t="n">
        <x:f>F245-$D245</x:f>
        <x:v>-882.9638770707388</x:v>
      </x:c>
      <x:c r="H245" s="6" t="n">
        <x:f>G245/$D245</x:f>
        <x:v>-0.023981876890824632</x:v>
      </x:c>
      <x:c r="I245" s="5" t="n">
        <x:f>ABS(G245)</x:f>
        <x:v>882.9638770707388</x:v>
      </x:c>
      <x:c r="J245" s="6" t="n">
        <x:f>ABS(H245)</x:f>
        <x:v>0.023981876890824632</x:v>
      </x:c>
      <x:c r="K245" s="5" t="n">
        <x:v>39594.27621853939</x:v>
      </x:c>
      <x:c r="L245" s="5" t="n">
        <x:f>K245-$D245</x:f>
        <x:v>2776.312341468649</x:v>
      </x:c>
      <x:c r="M245" s="6" t="n">
        <x:f>L245/$D245</x:f>
        <x:v>0.07540646057284181</x:v>
      </x:c>
      <x:c r="N245" s="5" t="n">
        <x:f>ABS(L245)</x:f>
        <x:v>2776.312341468649</x:v>
      </x:c>
      <x:c r="O245" s="6" t="n">
        <x:f>ABS(M245)</x:f>
        <x:v>0.07540646057284181</x:v>
      </x:c>
      <x:c r="P245" s="5" t="n">
        <x:v>28307.16512805688</x:v>
      </x:c>
      <x:c r="Q245" s="5" t="n">
        <x:f>P245-$D245</x:f>
        <x:v>-8510.798749013858</x:v>
      </x:c>
      <x:c r="R245" s="6" t="n">
        <x:f>Q245/$D245</x:f>
        <x:v>-0.23115886520585568</x:v>
      </x:c>
      <x:c r="S245" s="5" t="n">
        <x:f>ABS(Q245)</x:f>
        <x:v>8510.798749013858</x:v>
      </x:c>
      <x:c r="T245" s="6" t="n">
        <x:f>ABS(R245)</x:f>
        <x:v>0.23115886520585568</x:v>
      </x:c>
    </x:row>
    <x:row r="246">
      <x:c r="A246" s="4"/>
      <x:c r="B246" s="4" t="str">
        <x:v>Cotagaita</x:v>
      </x:c>
      <x:c r="C246" s="5" t="n">
        <x:v>31801</x:v>
      </x:c>
      <x:c r="D246" s="5" t="n">
        <x:v>29845.68148825318</x:v>
      </x:c>
      <x:c r="E246" s="5" t="n">
        <x:v>29221</x:v>
      </x:c>
      <x:c r="F246" s="5" t="n">
        <x:v>25950</x:v>
      </x:c>
      <x:c r="G246" s="5" t="n">
        <x:f>F246-$D246</x:f>
        <x:v>-3895.68148825318</x:v>
      </x:c>
      <x:c r="H246" s="6" t="n">
        <x:f>G246/$D246</x:f>
        <x:v>-0.13052747647214766</x:v>
      </x:c>
      <x:c r="I246" s="5" t="n">
        <x:f>ABS(G246)</x:f>
        <x:v>3895.68148825318</x:v>
      </x:c>
      <x:c r="J246" s="6" t="n">
        <x:f>ABS(H246)</x:f>
        <x:v>0.13052747647214766</x:v>
      </x:c>
      <x:c r="K246" s="5" t="n">
        <x:v>32216.05745139842</x:v>
      </x:c>
      <x:c r="L246" s="5" t="n">
        <x:f>K246-$D246</x:f>
        <x:v>2370.3759631452413</x:v>
      </x:c>
      <x:c r="M246" s="6" t="n">
        <x:f>L246/$D246</x:f>
        <x:v>0.07942107014973628</x:v>
      </x:c>
      <x:c r="N246" s="5" t="n">
        <x:f>ABS(L246)</x:f>
        <x:v>2370.3759631452413</x:v>
      </x:c>
      <x:c r="O246" s="6" t="n">
        <x:f>ABS(M246)</x:f>
        <x:v>0.07942107014973628</x:v>
      </x:c>
      <x:c r="P246" s="5" t="n">
        <x:v>61220.65677178148</x:v>
      </x:c>
      <x:c r="Q246" s="5" t="n">
        <x:f>P246-$D246</x:f>
        <x:v>31374.975283528303</x:v>
      </x:c>
      <x:c r="R246" s="6" t="n">
        <x:f>Q246/$D246</x:f>
        <x:v>1.0512400360459864</x:v>
      </x:c>
      <x:c r="S246" s="5" t="n">
        <x:f>ABS(Q246)</x:f>
        <x:v>31374.975283528303</x:v>
      </x:c>
      <x:c r="T246" s="6" t="n">
        <x:f>ABS(R246)</x:f>
        <x:v>1.0512400360459864</x:v>
      </x:c>
    </x:row>
    <x:row r="247">
      <x:c r="A247" s="4"/>
      <x:c r="B247" s="4" t="str">
        <x:v>Llallagua</x:v>
      </x:c>
      <x:c r="C247" s="5" t="n">
        <x:v>41104</x:v>
      </x:c>
      <x:c r="D247" s="5" t="n">
        <x:v>41539.7319602149</x:v>
      </x:c>
      <x:c r="E247" s="5" t="n">
        <x:v>41686</x:v>
      </x:c>
      <x:c r="F247" s="5" t="n">
        <x:v>50085</x:v>
      </x:c>
      <x:c r="G247" s="5" t="n">
        <x:f>F247-$D247</x:f>
        <x:v>8545.2680397851</x:v>
      </x:c>
      <x:c r="H247" s="6" t="n">
        <x:f>G247/$D247</x:f>
        <x:v>0.20571312419563556</x:v>
      </x:c>
      <x:c r="I247" s="5" t="n">
        <x:f>ABS(G247)</x:f>
        <x:v>8545.2680397851</x:v>
      </x:c>
      <x:c r="J247" s="6" t="n">
        <x:f>ABS(H247)</x:f>
        <x:v>0.20571312419563556</x:v>
      </x:c>
      <x:c r="K247" s="5" t="n">
        <x:v>36155.133713740666</x:v>
      </x:c>
      <x:c r="L247" s="5" t="n">
        <x:f>K247-$D247</x:f>
        <x:v>-5384.598246474234</x:v>
      </x:c>
      <x:c r="M247" s="6" t="n">
        <x:f>L247/$D247</x:f>
        <x:v>-0.12962525255654966</x:v>
      </x:c>
      <x:c r="N247" s="5" t="n">
        <x:f>ABS(L247)</x:f>
        <x:v>5384.598246474234</x:v>
      </x:c>
      <x:c r="O247" s="6" t="n">
        <x:f>ABS(M247)</x:f>
        <x:v>0.12962525255654966</x:v>
      </x:c>
      <x:c r="P247" s="5" t="n">
        <x:v>31636.311059757994</x:v>
      </x:c>
      <x:c r="Q247" s="5" t="n">
        <x:f>P247-$D247</x:f>
        <x:v>-9903.420900456906</x:v>
      </x:c>
      <x:c r="R247" s="6" t="n">
        <x:f>Q247/$D247</x:f>
        <x:v>-0.2384083968077119</x:v>
      </x:c>
      <x:c r="S247" s="5" t="n">
        <x:f>ABS(Q247)</x:f>
        <x:v>9903.420900456906</x:v>
      </x:c>
      <x:c r="T247" s="6" t="n">
        <x:f>ABS(R247)</x:f>
        <x:v>0.2384083968077119</x:v>
      </x:c>
    </x:row>
    <x:row r="248">
      <x:c r="A248" s="4"/>
      <x:c r="B248" s="4" t="str">
        <x:v>Llica</x:v>
      </x:c>
      <x:c r="C248" s="5" t="n">
        <x:v>4150</x:v>
      </x:c>
      <x:c r="D248" s="5" t="n">
        <x:v>4177.71918810884</x:v>
      </x:c>
      <x:c r="E248" s="5" t="n">
        <x:v>4187</x:v>
      </x:c>
      <x:c r="F248" s="5" t="n">
        <x:v>4188</x:v>
      </x:c>
      <x:c r="G248" s="5" t="n">
        <x:f>F248-$D248</x:f>
        <x:v>10.280811891159829</x:v>
      </x:c>
      <x:c r="H248" s="6" t="n">
        <x:f>G248/$D248</x:f>
        <x:v>0.0024608671450255426</x:v>
      </x:c>
      <x:c r="I248" s="5" t="n">
        <x:f>ABS(G248)</x:f>
        <x:v>10.280811891159829</x:v>
      </x:c>
      <x:c r="J248" s="6" t="n">
        <x:f>ABS(H248)</x:f>
        <x:v>0.0024608671450255426</x:v>
      </x:c>
      <x:c r="K248" s="5" t="n">
        <x:v>4141.209088309219</x:v>
      </x:c>
      <x:c r="L248" s="5" t="n">
        <x:f>K248-$D248</x:f>
        <x:v>-36.51009979962146</x:v>
      </x:c>
      <x:c r="M248" s="6" t="n">
        <x:f>L248/$D248</x:f>
        <x:v>-0.008739242193094543</x:v>
      </x:c>
      <x:c r="N248" s="5" t="n">
        <x:f>ABS(L248)</x:f>
        <x:v>36.51009979962146</x:v>
      </x:c>
      <x:c r="O248" s="6" t="n">
        <x:f>ABS(M248)</x:f>
        <x:v>0.008739242193094543</x:v>
      </x:c>
      <x:c r="P248" s="5" t="n">
        <x:v>7621.667299746565</x:v>
      </x:c>
      <x:c r="Q248" s="5" t="n">
        <x:f>P248-$D248</x:f>
        <x:v>3443.9481116377247</x:v>
      </x:c>
      <x:c r="R248" s="6" t="n">
        <x:f>Q248/$D248</x:f>
        <x:v>0.8243608429787074</x:v>
      </x:c>
      <x:c r="S248" s="5" t="n">
        <x:f>ABS(Q248)</x:f>
        <x:v>3443.9481116377247</x:v>
      </x:c>
      <x:c r="T248" s="6" t="n">
        <x:f>ABS(R248)</x:f>
        <x:v>0.8243608429787074</x:v>
      </x:c>
    </x:row>
    <x:row r="249">
      <x:c r="A249" s="4"/>
      <x:c r="B249" s="4" t="str">
        <x:v>Mojinete</x:v>
      </x:c>
      <x:c r="C249" s="5" t="n">
        <x:v>1180</x:v>
      </x:c>
      <x:c r="D249" s="5" t="n">
        <x:v>1061.728318066359</x:v>
      </x:c>
      <x:c r="E249" s="5" t="n">
        <x:v>1025</x:v>
      </x:c>
      <x:c r="F249" s="5" t="n">
        <x:v>861</x:v>
      </x:c>
      <x:c r="G249" s="5" t="n">
        <x:f>F249-$D249</x:f>
        <x:v>-200.72831806635895</x:v>
      </x:c>
      <x:c r="H249" s="6" t="n">
        <x:f>G249/$D249</x:f>
        <x:v>-0.18905808072627225</x:v>
      </x:c>
      <x:c r="I249" s="5" t="n">
        <x:f>ABS(G249)</x:f>
        <x:v>200.72831806635895</x:v>
      </x:c>
      <x:c r="J249" s="6" t="n">
        <x:f>ABS(H249)</x:f>
        <x:v>0.18905808072627225</x:v>
      </x:c>
      <x:c r="K249" s="5" t="n">
        <x:v>1009.3472475977048</x:v>
      </x:c>
      <x:c r="L249" s="5" t="n">
        <x:f>K249-$D249</x:f>
        <x:v>-52.381070468654116</x:v>
      </x:c>
      <x:c r="M249" s="6" t="n">
        <x:f>L249/$D249</x:f>
        <x:v>-0.04933566297266289</x:v>
      </x:c>
      <x:c r="N249" s="5" t="n">
        <x:f>ABS(L249)</x:f>
        <x:v>52.381070468654116</x:v>
      </x:c>
      <x:c r="O249" s="6" t="n">
        <x:f>ABS(M249)</x:f>
        <x:v>0.04933566297266289</x:v>
      </x:c>
      <x:c r="P249" s="5" t="n">
        <x:v>2111.3700081825955</x:v>
      </x:c>
      <x:c r="Q249" s="5" t="n">
        <x:f>P249-$D249</x:f>
        <x:v>1049.6416901162365</x:v>
      </x:c>
      <x:c r="R249" s="6" t="n">
        <x:f>Q249/$D249</x:f>
        <x:v>0.9886160821516612</x:v>
      </x:c>
      <x:c r="S249" s="5" t="n">
        <x:f>ABS(Q249)</x:f>
        <x:v>1049.6416901162365</x:v>
      </x:c>
      <x:c r="T249" s="6" t="n">
        <x:f>ABS(R249)</x:f>
        <x:v>0.9886160821516612</x:v>
      </x:c>
    </x:row>
    <x:row r="250">
      <x:c r="A250" s="4"/>
      <x:c r="B250" s="4" t="str">
        <x:v>Ocurí</x:v>
      </x:c>
      <x:c r="C250" s="5" t="n">
        <x:v>16118</x:v>
      </x:c>
      <x:c r="D250" s="5" t="n">
        <x:v>14913.23391170483</x:v>
      </x:c>
      <x:c r="E250" s="5" t="n">
        <x:v>14532</x:v>
      </x:c>
      <x:c r="F250" s="5" t="n">
        <x:v>15555</x:v>
      </x:c>
      <x:c r="G250" s="5" t="n">
        <x:f>F250-$D250</x:f>
        <x:v>641.7660882951695</x:v>
      </x:c>
      <x:c r="H250" s="6" t="n">
        <x:f>G250/$D250</x:f>
        <x:v>0.043033328122847436</x:v>
      </x:c>
      <x:c r="I250" s="5" t="n">
        <x:f>ABS(G250)</x:f>
        <x:v>641.7660882951695</x:v>
      </x:c>
      <x:c r="J250" s="6" t="n">
        <x:f>ABS(H250)</x:f>
        <x:v>0.043033328122847436</x:v>
      </x:c>
      <x:c r="K250" s="5" t="n">
        <x:v>22490.79534602676</x:v>
      </x:c>
      <x:c r="L250" s="5" t="n">
        <x:f>K250-$D250</x:f>
        <x:v>7577.5614343219295</x:v>
      </x:c>
      <x:c r="M250" s="6" t="n">
        <x:f>L250/$D250</x:f>
        <x:v>0.5081098760460392</x:v>
      </x:c>
      <x:c r="N250" s="5" t="n">
        <x:f>ABS(L250)</x:f>
        <x:v>7577.5614343219295</x:v>
      </x:c>
      <x:c r="O250" s="6" t="n">
        <x:f>ABS(M250)</x:f>
        <x:v>0.5081098760460392</x:v>
      </x:c>
      <x:c r="P250" s="5" t="n">
        <x:v>28471.204368797717</x:v>
      </x:c>
      <x:c r="Q250" s="5" t="n">
        <x:f>P250-$D250</x:f>
        <x:v>13557.970457092886</x:v>
      </x:c>
      <x:c r="R250" s="6" t="n">
        <x:f>Q250/$D250</x:f>
        <x:v>0.9091234360946857</x:v>
      </x:c>
      <x:c r="S250" s="5" t="n">
        <x:f>ABS(Q250)</x:f>
        <x:v>13557.970457092886</x:v>
      </x:c>
      <x:c r="T250" s="6" t="n">
        <x:f>ABS(R250)</x:f>
        <x:v>0.9091234360946857</x:v>
      </x:c>
    </x:row>
    <x:row r="251">
      <x:c r="A251" s="4"/>
      <x:c r="B251" s="4" t="str">
        <x:v>Pocoata</x:v>
      </x:c>
      <x:c r="C251" s="5" t="n">
        <x:v>26330</x:v>
      </x:c>
      <x:c r="D251" s="5" t="n">
        <x:v>30933.94481138747</x:v>
      </x:c>
      <x:c r="E251" s="5" t="n">
        <x:v>32641</x:v>
      </x:c>
      <x:c r="F251" s="5" t="n">
        <x:v>25587</x:v>
      </x:c>
      <x:c r="G251" s="5" t="n">
        <x:f>F251-$D251</x:f>
        <x:v>-5346.944811387471</x:v>
      </x:c>
      <x:c r="H251" s="6" t="n">
        <x:f>G251/$D251</x:f>
        <x:v>-0.17285040249438677</x:v>
      </x:c>
      <x:c r="I251" s="5" t="n">
        <x:f>ABS(G251)</x:f>
        <x:v>5346.944811387471</x:v>
      </x:c>
      <x:c r="J251" s="6" t="n">
        <x:f>ABS(H251)</x:f>
        <x:v>0.17285040249438677</x:v>
      </x:c>
      <x:c r="K251" s="5" t="n">
        <x:v>25452.71606181016</x:v>
      </x:c>
      <x:c r="L251" s="5" t="n">
        <x:f>K251-$D251</x:f>
        <x:v>-5481.228749577313</x:v>
      </x:c>
      <x:c r="M251" s="6" t="n">
        <x:f>L251/$D251</x:f>
        <x:v>-0.17719139227142963</x:v>
      </x:c>
      <x:c r="N251" s="5" t="n">
        <x:f>ABS(L251)</x:f>
        <x:v>5481.228749577313</x:v>
      </x:c>
      <x:c r="O251" s="6" t="n">
        <x:f>ABS(M251)</x:f>
        <x:v>0.17719139227142963</x:v>
      </x:c>
      <x:c r="P251" s="5" t="n">
        <x:v>21539.50014938752</x:v>
      </x:c>
      <x:c r="Q251" s="5" t="n">
        <x:f>P251-$D251</x:f>
        <x:v>-9394.44466199995</x:v>
      </x:c>
      <x:c r="R251" s="6" t="n">
        <x:f>Q251/$D251</x:f>
        <x:v>-0.3036937163779269</x:v>
      </x:c>
      <x:c r="S251" s="5" t="n">
        <x:f>ABS(Q251)</x:f>
        <x:v>9394.44466199995</x:v>
      </x:c>
      <x:c r="T251" s="6" t="n">
        <x:f>ABS(R251)</x:f>
        <x:v>0.3036937163779269</x:v>
      </x:c>
    </x:row>
    <x:row r="252">
      <x:c r="A252" s="4"/>
      <x:c r="B252" s="4" t="str">
        <x:v>Porco</x:v>
      </x:c>
      <x:c r="C252" s="5" t="n">
        <x:v>10866</x:v>
      </x:c>
      <x:c r="D252" s="5" t="n">
        <x:v>13598.298353338529</x:v>
      </x:c>
      <x:c r="E252" s="5" t="n">
        <x:v>14654</x:v>
      </x:c>
      <x:c r="F252" s="5" t="n">
        <x:v>13034</x:v>
      </x:c>
      <x:c r="G252" s="5" t="n">
        <x:f>F252-$D252</x:f>
        <x:v>-564.2983533385286</x:v>
      </x:c>
      <x:c r="H252" s="6" t="n">
        <x:f>G252/$D252</x:f>
        <x:v>-0.04149771822001444</x:v>
      </x:c>
      <x:c r="I252" s="5" t="n">
        <x:f>ABS(G252)</x:f>
        <x:v>564.2983533385286</x:v>
      </x:c>
      <x:c r="J252" s="6" t="n">
        <x:f>ABS(H252)</x:f>
        <x:v>0.04149771822001444</x:v>
      </x:c>
      <x:c r="K252" s="5" t="n">
        <x:v>4330.98367617551</x:v>
      </x:c>
      <x:c r="L252" s="5" t="n">
        <x:f>K252-$D252</x:f>
        <x:v>-9267.31467716302</x:v>
      </x:c>
      <x:c r="M252" s="6" t="n">
        <x:f>L252/$D252</x:f>
        <x:v>-0.6815054675490183</x:v>
      </x:c>
      <x:c r="N252" s="5" t="n">
        <x:f>ABS(L252)</x:f>
        <x:v>9267.31467716302</x:v>
      </x:c>
      <x:c r="O252" s="6" t="n">
        <x:f>ABS(M252)</x:f>
        <x:v>0.6815054675490183</x:v>
      </x:c>
      <x:c r="P252" s="5" t="n">
        <x:v>20855.19670119137</x:v>
      </x:c>
      <x:c r="Q252" s="5" t="n">
        <x:f>P252-$D252</x:f>
        <x:v>7256.898347852841</x:v>
      </x:c>
      <x:c r="R252" s="6" t="n">
        <x:f>Q252/$D252</x:f>
        <x:v>0.5336622391485618</x:v>
      </x:c>
      <x:c r="S252" s="5" t="n">
        <x:f>ABS(Q252)</x:f>
        <x:v>7256.898347852841</x:v>
      </x:c>
      <x:c r="T252" s="6" t="n">
        <x:f>ABS(R252)</x:f>
        <x:v>0.5336622391485618</x:v>
      </x:c>
    </x:row>
    <x:row r="253">
      <x:c r="A253" s="4"/>
      <x:c r="B253" s="4" t="str">
        <x:v>Potosí</x:v>
      </x:c>
      <x:c r="C253" s="5" t="n">
        <x:v>191302</x:v>
      </x:c>
      <x:c r="D253" s="5" t="n">
        <x:v>211504.4180164648</x:v>
      </x:c>
      <x:c r="E253" s="5" t="n">
        <x:v>218702</x:v>
      </x:c>
      <x:c r="F253" s="5" t="n">
        <x:v>264402</x:v>
      </x:c>
      <x:c r="G253" s="5" t="n">
        <x:f>F253-$D253</x:f>
        <x:v>52897.5819835352</x:v>
      </x:c>
      <x:c r="H253" s="6" t="n">
        <x:f>G253/$D253</x:f>
        <x:v>0.25010154624485115</x:v>
      </x:c>
      <x:c r="I253" s="5" t="n">
        <x:f>ABS(G253)</x:f>
        <x:v>52897.5819835352</x:v>
      </x:c>
      <x:c r="J253" s="6" t="n">
        <x:f>ABS(H253)</x:f>
        <x:v>0.25010154624485115</x:v>
      </x:c>
      <x:c r="K253" s="5" t="n">
        <x:v>242769.1671448284</x:v>
      </x:c>
      <x:c r="L253" s="5" t="n">
        <x:f>K253-$D253</x:f>
        <x:v>31264.74912836359</x:v>
      </x:c>
      <x:c r="M253" s="6" t="n">
        <x:f>L253/$D253</x:f>
        <x:v>0.14782078512388214</x:v>
      </x:c>
      <x:c r="N253" s="5" t="n">
        <x:f>ABS(L253)</x:f>
        <x:v>31264.74912836359</x:v>
      </x:c>
      <x:c r="O253" s="6" t="n">
        <x:f>ABS(M253)</x:f>
        <x:v>0.14782078512388214</x:v>
      </x:c>
      <x:c r="P253" s="5" t="n">
        <x:v>371954.0583301825</x:v>
      </x:c>
      <x:c r="Q253" s="5" t="n">
        <x:f>P253-$D253</x:f>
        <x:v>160449.6403137177</x:v>
      </x:c>
      <x:c r="R253" s="6" t="n">
        <x:f>Q253/$D253</x:f>
        <x:v>0.7586112943571105</x:v>
      </x:c>
      <x:c r="S253" s="5" t="n">
        <x:f>ABS(Q253)</x:f>
        <x:v>160449.6403137177</x:v>
      </x:c>
      <x:c r="T253" s="6" t="n">
        <x:f>ABS(R253)</x:f>
        <x:v>0.7586112943571105</x:v>
      </x:c>
    </x:row>
    <x:row r="254">
      <x:c r="A254" s="4"/>
      <x:c r="B254" s="4" t="str">
        <x:v>Puna</x:v>
      </x:c>
      <x:c r="C254" s="5" t="n">
        <x:v>21917</x:v>
      </x:c>
      <x:c r="D254" s="5" t="n">
        <x:v>17624.20835059315</x:v>
      </x:c>
      <x:c r="E254" s="5" t="n">
        <x:v>16389</x:v>
      </x:c>
      <x:c r="F254" s="5" t="n">
        <x:v>20017</x:v>
      </x:c>
      <x:c r="G254" s="5" t="n">
        <x:f>F254-$D254</x:f>
        <x:v>2392.7916494068486</x:v>
      </x:c>
      <x:c r="H254" s="6" t="n">
        <x:f>G254/$D254</x:f>
        <x:v>0.13576732649817533</x:v>
      </x:c>
      <x:c r="I254" s="5" t="n">
        <x:f>ABS(G254)</x:f>
        <x:v>2392.7916494068486</x:v>
      </x:c>
      <x:c r="J254" s="6" t="n">
        <x:f>ABS(H254)</x:f>
        <x:v>0.13576732649817533</x:v>
      </x:c>
      <x:c r="K254" s="5" t="n">
        <x:v>23284.22921654519</x:v>
      </x:c>
      <x:c r="L254" s="5" t="n">
        <x:f>K254-$D254</x:f>
        <x:v>5660.0208659520395</x:v>
      </x:c>
      <x:c r="M254" s="6" t="n">
        <x:f>L254/$D254</x:f>
        <x:v>0.32115036053585627</x:v>
      </x:c>
      <x:c r="N254" s="5" t="n">
        <x:f>ABS(L254)</x:f>
        <x:v>5660.0208659520395</x:v>
      </x:c>
      <x:c r="O254" s="6" t="n">
        <x:f>ABS(M254)</x:f>
        <x:v>0.32115036053585627</x:v>
      </x:c>
      <x:c r="P254" s="5" t="n">
        <x:v>24944.216336085155</x:v>
      </x:c>
      <x:c r="Q254" s="5" t="n">
        <x:f>P254-$D254</x:f>
        <x:v>7320.007985492004</x:v>
      </x:c>
      <x:c r="R254" s="6" t="n">
        <x:f>Q254/$D254</x:f>
        <x:v>0.4153382574625342</x:v>
      </x:c>
      <x:c r="S254" s="5" t="n">
        <x:f>ABS(Q254)</x:f>
        <x:v>7320.007985492004</x:v>
      </x:c>
      <x:c r="T254" s="6" t="n">
        <x:f>ABS(R254)</x:f>
        <x:v>0.4153382574625342</x:v>
      </x:c>
    </x:row>
    <x:row r="255">
      <x:c r="A255" s="4"/>
      <x:c r="B255" s="4" t="str">
        <x:v>Ravelo</x:v>
      </x:c>
      <x:c r="C255" s="5" t="n">
        <x:v>21213</x:v>
      </x:c>
      <x:c r="D255" s="5" t="n">
        <x:v>17895.299287820028</x:v>
      </x:c>
      <x:c r="E255" s="5" t="n">
        <x:v>16909</x:v>
      </x:c>
      <x:c r="F255" s="5" t="n">
        <x:v>18474</x:v>
      </x:c>
      <x:c r="G255" s="5" t="n">
        <x:f>F255-$D255</x:f>
        <x:v>578.7007121799725</x:v>
      </x:c>
      <x:c r="H255" s="6" t="n">
        <x:f>G255/$D255</x:f>
        <x:v>0.03233814103203349</x:v>
      </x:c>
      <x:c r="I255" s="5" t="n">
        <x:f>ABS(G255)</x:f>
        <x:v>578.7007121799725</x:v>
      </x:c>
      <x:c r="J255" s="6" t="n">
        <x:f>ABS(H255)</x:f>
        <x:v>0.03233814103203349</x:v>
      </x:c>
      <x:c r="K255" s="5" t="n">
        <x:v>14681.346199720874</x:v>
      </x:c>
      <x:c r="L255" s="5" t="n">
        <x:f>K255-$D255</x:f>
        <x:v>-3213.9530880991533</x:v>
      </x:c>
      <x:c r="M255" s="6" t="n">
        <x:f>L255/$D255</x:f>
        <x:v>-0.17959761591060103</x:v>
      </x:c>
      <x:c r="N255" s="5" t="n">
        <x:f>ABS(L255)</x:f>
        <x:v>3213.9530880991533</x:v>
      </x:c>
      <x:c r="O255" s="6" t="n">
        <x:f>ABS(M255)</x:f>
        <x:v>0.17959761591060103</x:v>
      </x:c>
      <x:c r="P255" s="5" t="n">
        <x:v>19214.60427151881</x:v>
      </x:c>
      <x:c r="Q255" s="5" t="n">
        <x:f>P255-$D255</x:f>
        <x:v>1319.3049836987811</x:v>
      </x:c>
      <x:c r="R255" s="6" t="n">
        <x:f>Q255/$D255</x:f>
        <x:v>0.07372354954670872</x:v>
      </x:c>
      <x:c r="S255" s="5" t="n">
        <x:f>ABS(Q255)</x:f>
        <x:v>1319.3049836987811</x:v>
      </x:c>
      <x:c r="T255" s="6" t="n">
        <x:f>ABS(R255)</x:f>
        <x:v>0.07372354954670872</x:v>
      </x:c>
    </x:row>
    <x:row r="256">
      <x:c r="A256" s="4"/>
      <x:c r="B256" s="4" t="str">
        <x:v>Sacaca</x:v>
      </x:c>
      <x:c r="C256" s="5" t="n">
        <x:v>19611</x:v>
      </x:c>
      <x:c r="D256" s="5" t="n">
        <x:v>17777.30578162849</x:v>
      </x:c>
      <x:c r="E256" s="5" t="n">
        <x:v>17205</x:v>
      </x:c>
      <x:c r="F256" s="5" t="n">
        <x:v>19991</x:v>
      </x:c>
      <x:c r="G256" s="5" t="n">
        <x:f>F256-$D256</x:f>
        <x:v>2213.694218371511</x:v>
      </x:c>
      <x:c r="H256" s="6" t="n">
        <x:f>G256/$D256</x:f>
        <x:v>0.1245236058581609</x:v>
      </x:c>
      <x:c r="I256" s="5" t="n">
        <x:f>ABS(G256)</x:f>
        <x:v>2213.694218371511</x:v>
      </x:c>
      <x:c r="J256" s="6" t="n">
        <x:f>ABS(H256)</x:f>
        <x:v>0.1245236058581609</x:v>
      </x:c>
      <x:c r="K256" s="5" t="n">
        <x:v>17324.616159088866</x:v>
      </x:c>
      <x:c r="L256" s="5" t="n">
        <x:f>K256-$D256</x:f>
        <x:v>-452.6896225396231</x:v>
      </x:c>
      <x:c r="M256" s="6" t="n">
        <x:f>L256/$D256</x:f>
        <x:v>-0.025464467343946112</x:v>
      </x:c>
      <x:c r="N256" s="5" t="n">
        <x:f>ABS(L256)</x:f>
        <x:v>452.6896225396231</x:v>
      </x:c>
      <x:c r="O256" s="6" t="n">
        <x:f>ABS(M256)</x:f>
        <x:v>0.025464467343946112</x:v>
      </x:c>
      <x:c r="P256" s="5" t="n">
        <x:v>21354.27873187254</x:v>
      </x:c>
      <x:c r="Q256" s="5" t="n">
        <x:f>P256-$D256</x:f>
        <x:v>3576.9729502440496</x:v>
      </x:c>
      <x:c r="R256" s="6" t="n">
        <x:f>Q256/$D256</x:f>
        <x:v>0.20121007053501788</x:v>
      </x:c>
      <x:c r="S256" s="5" t="n">
        <x:f>ABS(Q256)</x:f>
        <x:v>3576.9729502440496</x:v>
      </x:c>
      <x:c r="T256" s="6" t="n">
        <x:f>ABS(R256)</x:f>
        <x:v>0.20121007053501788</x:v>
      </x:c>
    </x:row>
    <x:row r="257">
      <x:c r="A257" s="4"/>
      <x:c r="B257" s="4" t="str">
        <x:v>San Agustín</x:v>
      </x:c>
      <x:c r="C257" s="5" t="n">
        <x:v>1684</x:v>
      </x:c>
      <x:c r="D257" s="5" t="n">
        <x:v>2005.6630190136489</x:v>
      </x:c>
      <x:c r="E257" s="5" t="n">
        <x:v>2126</x:v>
      </x:c>
      <x:c r="F257" s="5" t="n">
        <x:v>2022</x:v>
      </x:c>
      <x:c r="G257" s="5" t="n">
        <x:f>F257-$D257</x:f>
        <x:v>16.336980986351136</x:v>
      </x:c>
      <x:c r="H257" s="6" t="n">
        <x:f>G257/$D257</x:f>
        <x:v>0.008145426640206682</x:v>
      </x:c>
      <x:c r="I257" s="5" t="n">
        <x:f>ABS(G257)</x:f>
        <x:v>16.336980986351136</x:v>
      </x:c>
      <x:c r="J257" s="6" t="n">
        <x:f>ABS(H257)</x:f>
        <x:v>0.008145426640206682</x:v>
      </x:c>
      <x:c r="K257" s="5" t="n">
        <x:v>1996.2512000640363</x:v>
      </x:c>
      <x:c r="L257" s="5" t="n">
        <x:f>K257-$D257</x:f>
        <x:v>-9.411818949612552</x:v>
      </x:c>
      <x:c r="M257" s="6" t="n">
        <x:f>L257/$D257</x:f>
        <x:v>-0.004692622270236166</x:v>
      </x:c>
      <x:c r="N257" s="5" t="n">
        <x:f>ABS(L257)</x:f>
        <x:v>9.411818949612552</x:v>
      </x:c>
      <x:c r="O257" s="6" t="n">
        <x:f>ABS(M257)</x:f>
        <x:v>0.004692622270236166</x:v>
      </x:c>
      <x:c r="P257" s="5" t="n">
        <x:v>3355.512074323284</x:v>
      </x:c>
      <x:c r="Q257" s="5" t="n">
        <x:f>P257-$D257</x:f>
        <x:v>1349.8490553096353</x:v>
      </x:c>
      <x:c r="R257" s="6" t="n">
        <x:f>Q257/$D257</x:f>
        <x:v>0.6730188683308665</x:v>
      </x:c>
      <x:c r="S257" s="5" t="n">
        <x:f>ABS(Q257)</x:f>
        <x:v>1349.8490553096353</x:v>
      </x:c>
      <x:c r="T257" s="6" t="n">
        <x:f>ABS(R257)</x:f>
        <x:v>0.6730188683308665</x:v>
      </x:c>
    </x:row>
    <x:row r="258">
      <x:c r="A258" s="4"/>
      <x:c r="B258" s="4" t="str">
        <x:v>San Antonio de Esmoruco</x:v>
      </x:c>
      <x:c r="C258" s="5" t="n">
        <x:v>2284</x:v>
      </x:c>
      <x:c r="D258" s="5" t="n">
        <x:v>2017.683486707832</x:v>
      </x:c>
      <x:c r="E258" s="5" t="n">
        <x:v>1936</x:v>
      </x:c>
      <x:c r="F258" s="5" t="n">
        <x:v>2233</x:v>
      </x:c>
      <x:c r="G258" s="5" t="n">
        <x:f>F258-$D258</x:f>
        <x:v>215.3165132921681</x:v>
      </x:c>
      <x:c r="H258" s="6" t="n">
        <x:f>G258/$D258</x:f>
        <x:v>0.10671471254566835</x:v>
      </x:c>
      <x:c r="I258" s="5" t="n">
        <x:f>ABS(G258)</x:f>
        <x:v>215.3165132921681</x:v>
      </x:c>
      <x:c r="J258" s="6" t="n">
        <x:f>ABS(H258)</x:f>
        <x:v>0.10671471254566835</x:v>
      </x:c>
      <x:c r="K258" s="5" t="n">
        <x:v>870.7453634913206</x:v>
      </x:c>
      <x:c r="L258" s="5" t="n">
        <x:f>K258-$D258</x:f>
        <x:v>-1146.9381232165113</x:v>
      </x:c>
      <x:c r="M258" s="6" t="n">
        <x:f>L258/$D258</x:f>
        <x:v>-0.5684430341886384</x:v>
      </x:c>
      <x:c r="N258" s="5" t="n">
        <x:f>ABS(L258)</x:f>
        <x:v>1146.9381232165113</x:v>
      </x:c>
      <x:c r="O258" s="6" t="n">
        <x:f>ABS(M258)</x:f>
        <x:v>0.5684430341886384</x:v>
      </x:c>
      <x:c r="P258" s="5" t="n">
        <x:v>4456.415686350432</x:v>
      </x:c>
      <x:c r="Q258" s="5" t="n">
        <x:f>P258-$D258</x:f>
        <x:v>2438.7321996426003</x:v>
      </x:c>
      <x:c r="R258" s="6" t="n">
        <x:f>Q258/$D258</x:f>
        <x:v>1.2086792679370022</x:v>
      </x:c>
      <x:c r="S258" s="5" t="n">
        <x:f>ABS(Q258)</x:f>
        <x:v>2438.7321996426003</x:v>
      </x:c>
      <x:c r="T258" s="6" t="n">
        <x:f>ABS(R258)</x:f>
        <x:v>1.2086792679370022</x:v>
      </x:c>
    </x:row>
    <x:row r="259">
      <x:c r="A259" s="4"/>
      <x:c r="B259" s="4" t="str">
        <x:v>San Pablo</x:v>
      </x:c>
      <x:c r="C259" s="5" t="n">
        <x:v>3371</x:v>
      </x:c>
      <x:c r="D259" s="5" t="n">
        <x:v>3203.8531623948656</x:v>
      </x:c>
      <x:c r="E259" s="5" t="n">
        <x:v>3150</x:v>
      </x:c>
      <x:c r="F259" s="5" t="n">
        <x:v>3373</x:v>
      </x:c>
      <x:c r="G259" s="5" t="n">
        <x:f>F259-$D259</x:f>
        <x:v>169.14683760513435</x:v>
      </x:c>
      <x:c r="H259" s="6" t="n">
        <x:f>G259/$D259</x:f>
        <x:v>0.05279481581443572</x:v>
      </x:c>
      <x:c r="I259" s="5" t="n">
        <x:f>ABS(G259)</x:f>
        <x:v>169.14683760513435</x:v>
      </x:c>
      <x:c r="J259" s="6" t="n">
        <x:f>ABS(H259)</x:f>
        <x:v>0.05279481581443572</x:v>
      </x:c>
      <x:c r="K259" s="5" t="n">
        <x:v>7093.902345190024</x:v>
      </x:c>
      <x:c r="L259" s="5" t="n">
        <x:f>K259-$D259</x:f>
        <x:v>3890.0491827951582</x:v>
      </x:c>
      <x:c r="M259" s="6" t="n">
        <x:f>L259/$D259</x:f>
        <x:v>1.214178361372643</x:v>
      </x:c>
      <x:c r="N259" s="5" t="n">
        <x:f>ABS(L259)</x:f>
        <x:v>3890.0491827951582</x:v>
      </x:c>
      <x:c r="O259" s="6" t="n">
        <x:f>ABS(M259)</x:f>
        <x:v>1.214178361372643</x:v>
      </x:c>
      <x:c r="P259" s="5" t="n">
        <x:v>6032.008067525458</x:v>
      </x:c>
      <x:c r="Q259" s="5" t="n">
        <x:f>P259-$D259</x:f>
        <x:v>2828.154905130592</x:v>
      </x:c>
      <x:c r="R259" s="6" t="n">
        <x:f>Q259/$D259</x:f>
        <x:v>0.8827354943497345</x:v>
      </x:c>
      <x:c r="S259" s="5" t="n">
        <x:f>ABS(Q259)</x:f>
        <x:v>2828.154905130592</x:v>
      </x:c>
      <x:c r="T259" s="6" t="n">
        <x:f>ABS(R259)</x:f>
        <x:v>0.8827354943497345</x:v>
      </x:c>
    </x:row>
    <x:row r="260">
      <x:c r="A260" s="4"/>
      <x:c r="B260" s="4" t="str">
        <x:v>San Pedro</x:v>
      </x:c>
      <x:c r="C260" s="5" t="n">
        <x:v>30012</x:v>
      </x:c>
      <x:c r="D260" s="5" t="n">
        <x:v>28806.861362726933</x:v>
      </x:c>
      <x:c r="E260" s="5" t="n">
        <x:v>28416</x:v>
      </x:c>
      <x:c r="F260" s="5" t="n">
        <x:v>30288</x:v>
      </x:c>
      <x:c r="G260" s="5" t="n">
        <x:f>F260-$D260</x:f>
        <x:v>1481.1386372730667</x:v>
      </x:c>
      <x:c r="H260" s="6" t="n">
        <x:f>G260/$D260</x:f>
        <x:v>0.05141617542511956</x:v>
      </x:c>
      <x:c r="I260" s="5" t="n">
        <x:f>ABS(G260)</x:f>
        <x:v>1481.1386372730667</x:v>
      </x:c>
      <x:c r="J260" s="6" t="n">
        <x:f>ABS(H260)</x:f>
        <x:v>0.05141617542511956</x:v>
      </x:c>
      <x:c r="K260" s="5" t="n">
        <x:v>26400.653711701736</x:v>
      </x:c>
      <x:c r="L260" s="5" t="n">
        <x:f>K260-$D260</x:f>
        <x:v>-2406.2076510251973</x:v>
      </x:c>
      <x:c r="M260" s="6" t="n">
        <x:f>L260/$D260</x:f>
        <x:v>-0.0835289766811798</x:v>
      </x:c>
      <x:c r="N260" s="5" t="n">
        <x:f>ABS(L260)</x:f>
        <x:v>2406.2076510251973</x:v>
      </x:c>
      <x:c r="O260" s="6" t="n">
        <x:f>ABS(M260)</x:f>
        <x:v>0.0835289766811798</x:v>
      </x:c>
      <x:c r="P260" s="5" t="n">
        <x:v>31358.357372779225</x:v>
      </x:c>
      <x:c r="Q260" s="5" t="n">
        <x:f>P260-$D260</x:f>
        <x:v>2551.4960100522912</x:v>
      </x:c>
      <x:c r="R260" s="6" t="n">
        <x:f>Q260/$D260</x:f>
        <x:v>0.08857250978940942</x:v>
      </x:c>
      <x:c r="S260" s="5" t="n">
        <x:f>ABS(Q260)</x:f>
        <x:v>2551.4960100522912</x:v>
      </x:c>
      <x:c r="T260" s="6" t="n">
        <x:f>ABS(R260)</x:f>
        <x:v>0.08857250978940942</x:v>
      </x:c>
    </x:row>
    <x:row r="261">
      <x:c r="A261" s="4"/>
      <x:c r="B261" s="4" t="str">
        <x:v>San Pedro de Quemes</x:v>
      </x:c>
      <x:c r="C261" s="5" t="n">
        <x:v>1060</x:v>
      </x:c>
      <x:c r="D261" s="5" t="n">
        <x:v>1457.685143194859</x:v>
      </x:c>
      <x:c r="E261" s="5" t="n">
        <x:v>1621</x:v>
      </x:c>
      <x:c r="F261" s="5" t="n">
        <x:v>759</x:v>
      </x:c>
      <x:c r="G261" s="5" t="n">
        <x:f>F261-$D261</x:f>
        <x:v>-698.6851431948589</x:v>
      </x:c>
      <x:c r="H261" s="6" t="n">
        <x:f>G261/$D261</x:f>
        <x:v>-0.47931142500603835</x:v>
      </x:c>
      <x:c r="I261" s="5" t="n">
        <x:f>ABS(G261)</x:f>
        <x:v>698.6851431948589</x:v>
      </x:c>
      <x:c r="J261" s="6" t="n">
        <x:f>ABS(H261)</x:f>
        <x:v>0.47931142500603835</x:v>
      </x:c>
      <x:c r="K261" s="5" t="n">
        <x:v>1797.4970299687473</x:v>
      </x:c>
      <x:c r="L261" s="5" t="n">
        <x:f>K261-$D261</x:f>
        <x:v>339.8118867738883</x:v>
      </x:c>
      <x:c r="M261" s="6" t="n">
        <x:f>L261/$D261</x:f>
        <x:v>0.23311747969737198</x:v>
      </x:c>
      <x:c r="N261" s="5" t="n">
        <x:f>ABS(L261)</x:f>
        <x:v>339.8118867738883</x:v>
      </x:c>
      <x:c r="O261" s="6" t="n">
        <x:f>ABS(M261)</x:f>
        <x:v>0.23311747969737198</x:v>
      </x:c>
      <x:c r="P261" s="5" t="n">
        <x:v>2024.679943825584</x:v>
      </x:c>
      <x:c r="Q261" s="5" t="n">
        <x:f>P261-$D261</x:f>
        <x:v>566.994800630725</x:v>
      </x:c>
      <x:c r="R261" s="6" t="n">
        <x:f>Q261/$D261</x:f>
        <x:v>0.3889693211718018</x:v>
      </x:c>
      <x:c r="S261" s="5" t="n">
        <x:f>ABS(Q261)</x:f>
        <x:v>566.994800630725</x:v>
      </x:c>
      <x:c r="T261" s="6" t="n">
        <x:f>ABS(R261)</x:f>
        <x:v>0.3889693211718018</x:v>
      </x:c>
    </x:row>
    <x:row r="262">
      <x:c r="A262" s="4"/>
      <x:c r="B262" s="4" t="str">
        <x:v>Tacobamba</x:v>
      </x:c>
      <x:c r="C262" s="5" t="n">
        <x:v>11835</x:v>
      </x:c>
      <x:c r="D262" s="5" t="n">
        <x:v>13686.549174778442</x:v>
      </x:c>
      <x:c r="E262" s="5" t="n">
        <x:v>14366</x:v>
      </x:c>
      <x:c r="F262" s="5" t="n">
        <x:v>9416</x:v>
      </x:c>
      <x:c r="G262" s="5" t="n">
        <x:f>F262-$D262</x:f>
        <x:v>-4270.549174778442</x:v>
      </x:c>
      <x:c r="H262" s="6" t="n">
        <x:f>G262/$D262</x:f>
        <x:v>-0.3120252680382141</x:v>
      </x:c>
      <x:c r="I262" s="5" t="n">
        <x:f>ABS(G262)</x:f>
        <x:v>4270.549174778442</x:v>
      </x:c>
      <x:c r="J262" s="6" t="n">
        <x:f>ABS(H262)</x:f>
        <x:v>0.3120252680382141</x:v>
      </x:c>
      <x:c r="K262" s="5" t="n">
        <x:v>6984.346852747386</x:v>
      </x:c>
      <x:c r="L262" s="5" t="n">
        <x:f>K262-$D262</x:f>
        <x:v>-6702.202322031056</x:v>
      </x:c>
      <x:c r="M262" s="6" t="n">
        <x:f>L262/$D262</x:f>
        <x:v>-0.4896926344576226</x:v>
      </x:c>
      <x:c r="N262" s="5" t="n">
        <x:f>ABS(L262)</x:f>
        <x:v>6702.202322031056</x:v>
      </x:c>
      <x:c r="O262" s="6" t="n">
        <x:f>ABS(M262)</x:f>
        <x:v>0.4896926344576226</x:v>
      </x:c>
      <x:c r="P262" s="5" t="n">
        <x:v>11514.503183267458</x:v>
      </x:c>
      <x:c r="Q262" s="5" t="n">
        <x:f>P262-$D262</x:f>
        <x:v>-2172.045991510984</x:v>
      </x:c>
      <x:c r="R262" s="6" t="n">
        <x:f>Q262/$D262</x:f>
        <x:v>-0.15869931593228978</x:v>
      </x:c>
      <x:c r="S262" s="5" t="n">
        <x:f>ABS(Q262)</x:f>
        <x:v>2172.045991510984</x:v>
      </x:c>
      <x:c r="T262" s="6" t="n">
        <x:f>ABS(R262)</x:f>
        <x:v>0.15869931593228978</x:v>
      </x:c>
    </x:row>
    <x:row r="263">
      <x:c r="A263" s="4"/>
      <x:c r="B263" s="4" t="str">
        <x:v>Tahua</x:v>
      </x:c>
      <x:c r="C263" s="5" t="n">
        <x:v>1700</x:v>
      </x:c>
      <x:c r="D263" s="5" t="n">
        <x:v>1583.1400929772412</x:v>
      </x:c>
      <x:c r="E263" s="5" t="n">
        <x:v>1546</x:v>
      </x:c>
      <x:c r="F263" s="5" t="n">
        <x:v>1730</x:v>
      </x:c>
      <x:c r="G263" s="5" t="n">
        <x:f>F263-$D263</x:f>
        <x:v>146.85990702275876</x:v>
      </x:c>
      <x:c r="H263" s="6" t="n">
        <x:f>G263/$D263</x:f>
        <x:v>0.09276494712895252</x:v>
      </x:c>
      <x:c r="I263" s="5" t="n">
        <x:f>ABS(G263)</x:f>
        <x:v>146.85990702275876</x:v>
      </x:c>
      <x:c r="J263" s="6" t="n">
        <x:f>ABS(H263)</x:f>
        <x:v>0.09276494712895252</x:v>
      </x:c>
      <x:c r="K263" s="5" t="n">
        <x:v>3012.7545341019804</x:v>
      </x:c>
      <x:c r="L263" s="5" t="n">
        <x:f>K263-$D263</x:f>
        <x:v>1429.6144411247392</x:v>
      </x:c>
      <x:c r="M263" s="6" t="n">
        <x:f>L263/$D263</x:f>
        <x:v>0.9030245948962212</x:v>
      </x:c>
      <x:c r="N263" s="5" t="n">
        <x:f>ABS(L263)</x:f>
        <x:v>1429.6144411247392</x:v>
      </x:c>
      <x:c r="O263" s="6" t="n">
        <x:f>ABS(M263)</x:f>
        <x:v>0.9030245948962212</x:v>
      </x:c>
      <x:c r="P263" s="5" t="n">
        <x:v>3530.008818771559</x:v>
      </x:c>
      <x:c r="Q263" s="5" t="n">
        <x:f>P263-$D263</x:f>
        <x:v>1946.868725794318</x:v>
      </x:c>
      <x:c r="R263" s="6" t="n">
        <x:f>Q263/$D263</x:f>
        <x:v>1.2297513874044157</x:v>
      </x:c>
      <x:c r="S263" s="5" t="n">
        <x:f>ABS(Q263)</x:f>
        <x:v>1946.868725794318</x:v>
      </x:c>
      <x:c r="T263" s="6" t="n">
        <x:f>ABS(R263)</x:f>
        <x:v>1.2297513874044157</x:v>
      </x:c>
    </x:row>
    <x:row r="264">
      <x:c r="A264" s="4"/>
      <x:c r="B264" s="4" t="str">
        <x:v>Tinguipaya</x:v>
      </x:c>
      <x:c r="C264" s="5" t="n">
        <x:v>27200</x:v>
      </x:c>
      <x:c r="D264" s="5" t="n">
        <x:v>28496.31024519323</x:v>
      </x:c>
      <x:c r="E264" s="5" t="n">
        <x:v>28942</x:v>
      </x:c>
      <x:c r="F264" s="5" t="n">
        <x:v>23088</x:v>
      </x:c>
      <x:c r="G264" s="5" t="n">
        <x:f>F264-$D264</x:f>
        <x:v>-5408.310245193228</x:v>
      </x:c>
      <x:c r="H264" s="6" t="n">
        <x:f>G264/$D264</x:f>
        <x:v>-0.1897898429185408</x:v>
      </x:c>
      <x:c r="I264" s="5" t="n">
        <x:f>ABS(G264)</x:f>
        <x:v>5408.310245193228</x:v>
      </x:c>
      <x:c r="J264" s="6" t="n">
        <x:f>ABS(H264)</x:f>
        <x:v>0.1897898429185408</x:v>
      </x:c>
      <x:c r="K264" s="5" t="n">
        <x:v>16116.1367428322</x:v>
      </x:c>
      <x:c r="L264" s="5" t="n">
        <x:f>K264-$D264</x:f>
        <x:v>-12380.173502361029</x:v>
      </x:c>
      <x:c r="M264" s="6" t="n">
        <x:f>L264/$D264</x:f>
        <x:v>-0.4344482985985641</x:v>
      </x:c>
      <x:c r="N264" s="5" t="n">
        <x:f>ABS(L264)</x:f>
        <x:v>12380.173502361029</x:v>
      </x:c>
      <x:c r="O264" s="6" t="n">
        <x:f>ABS(M264)</x:f>
        <x:v>0.4344482985985641</x:v>
      </x:c>
      <x:c r="P264" s="5" t="n">
        <x:v>51717.97508794261</x:v>
      </x:c>
      <x:c r="Q264" s="5" t="n">
        <x:f>P264-$D264</x:f>
        <x:v>23221.66484274938</x:v>
      </x:c>
      <x:c r="R264" s="6" t="n">
        <x:f>Q264/$D264</x:f>
        <x:v>0.8149007588330289</x:v>
      </x:c>
      <x:c r="S264" s="5" t="n">
        <x:f>ABS(Q264)</x:f>
        <x:v>23221.66484274938</x:v>
      </x:c>
      <x:c r="T264" s="6" t="n">
        <x:f>ABS(R264)</x:f>
        <x:v>0.8149007588330289</x:v>
      </x:c>
    </x:row>
    <x:row r="265">
      <x:c r="A265" s="4"/>
      <x:c r="B265" s="4" t="str">
        <x:v>Tomave</x:v>
      </x:c>
      <x:c r="C265" s="5" t="n">
        <x:v>14789</x:v>
      </x:c>
      <x:c r="D265" s="5" t="n">
        <x:v>13936.961240468703</x:v>
      </x:c>
      <x:c r="E265" s="5" t="n">
        <x:v>13664</x:v>
      </x:c>
      <x:c r="F265" s="5" t="n">
        <x:v>13278</x:v>
      </x:c>
      <x:c r="G265" s="5" t="n">
        <x:f>F265-$D265</x:f>
        <x:v>-658.9612404687032</x:v>
      </x:c>
      <x:c r="H265" s="6" t="n">
        <x:f>G265/$D265</x:f>
        <x:v>-0.04728155794501888</x:v>
      </x:c>
      <x:c r="I265" s="5" t="n">
        <x:f>ABS(G265)</x:f>
        <x:v>658.9612404687032</x:v>
      </x:c>
      <x:c r="J265" s="6" t="n">
        <x:f>ABS(H265)</x:f>
        <x:v>0.04728155794501888</x:v>
      </x:c>
      <x:c r="K265" s="5" t="n">
        <x:v>22964.572826644835</x:v>
      </x:c>
      <x:c r="L265" s="5" t="n">
        <x:f>K265-$D265</x:f>
        <x:v>9027.611586176132</x:v>
      </x:c>
      <x:c r="M265" s="6" t="n">
        <x:f>L265/$D265</x:f>
        <x:v>0.6477460495450535</x:v>
      </x:c>
      <x:c r="N265" s="5" t="n">
        <x:f>ABS(L265)</x:f>
        <x:v>9027.611586176132</x:v>
      </x:c>
      <x:c r="O265" s="6" t="n">
        <x:f>ABS(M265)</x:f>
        <x:v>0.6477460495450535</x:v>
      </x:c>
      <x:c r="P265" s="5" t="n">
        <x:v>28534.442194719013</x:v>
      </x:c>
      <x:c r="Q265" s="5" t="n">
        <x:f>P265-$D265</x:f>
        <x:v>14597.48095425031</x:v>
      </x:c>
      <x:c r="R265" s="6" t="n">
        <x:f>Q265/$D265</x:f>
        <x:v>1.0473933809806157</x:v>
      </x:c>
      <x:c r="S265" s="5" t="n">
        <x:f>ABS(Q265)</x:f>
        <x:v>14597.48095425031</x:v>
      </x:c>
      <x:c r="T265" s="6" t="n">
        <x:f>ABS(R265)</x:f>
        <x:v>1.0473933809806157</x:v>
      </x:c>
    </x:row>
    <x:row r="266">
      <x:c r="A266" s="4"/>
      <x:c r="B266" s="4" t="str">
        <x:v>Toro Toro</x:v>
      </x:c>
      <x:c r="C266" s="5" t="n">
        <x:v>10870</x:v>
      </x:c>
      <x:c r="D266" s="5" t="n">
        <x:v>10752.788845078534</x:v>
      </x:c>
      <x:c r="E266" s="5" t="n">
        <x:v>10714</x:v>
      </x:c>
      <x:c r="F266" s="5" t="n">
        <x:v>12347</x:v>
      </x:c>
      <x:c r="G266" s="5" t="n">
        <x:f>F266-$D266</x:f>
        <x:v>1594.211154921466</x:v>
      </x:c>
      <x:c r="H266" s="6" t="n">
        <x:f>G266/$D266</x:f>
        <x:v>0.14826024930742723</x:v>
      </x:c>
      <x:c r="I266" s="5" t="n">
        <x:f>ABS(G266)</x:f>
        <x:v>1594.211154921466</x:v>
      </x:c>
      <x:c r="J266" s="6" t="n">
        <x:f>ABS(H266)</x:f>
        <x:v>0.14826024930742723</x:v>
      </x:c>
      <x:c r="K266" s="5" t="n">
        <x:v>13525.389362915948</x:v>
      </x:c>
      <x:c r="L266" s="5" t="n">
        <x:f>K266-$D266</x:f>
        <x:v>2772.6005178374144</x:v>
      </x:c>
      <x:c r="M266" s="6" t="n">
        <x:f>L266/$D266</x:f>
        <x:v>0.2578494340197531</x:v>
      </x:c>
      <x:c r="N266" s="5" t="n">
        <x:f>ABS(L266)</x:f>
        <x:v>2772.6005178374144</x:v>
      </x:c>
      <x:c r="O266" s="6" t="n">
        <x:f>ABS(M266)</x:f>
        <x:v>0.2578494340197531</x:v>
      </x:c>
      <x:c r="P266" s="5" t="n">
        <x:v>11301.483508565403</x:v>
      </x:c>
      <x:c r="Q266" s="5" t="n">
        <x:f>P266-$D266</x:f>
        <x:v>548.6946634868691</x:v>
      </x:c>
      <x:c r="R266" s="6" t="n">
        <x:f>Q266/$D266</x:f>
        <x:v>0.051028125948739546</x:v>
      </x:c>
      <x:c r="S266" s="5" t="n">
        <x:f>ABS(Q266)</x:f>
        <x:v>548.6946634868691</x:v>
      </x:c>
      <x:c r="T266" s="6" t="n">
        <x:f>ABS(R266)</x:f>
        <x:v>0.051028125948739546</x:v>
      </x:c>
    </x:row>
    <x:row r="267">
      <x:c r="A267" s="4"/>
      <x:c r="B267" s="4" t="str">
        <x:v>Tupiza</x:v>
      </x:c>
      <x:c r="C267" s="5" t="n">
        <x:v>44814</x:v>
      </x:c>
      <x:c r="D267" s="5" t="n">
        <x:v>45394.749261230136</x:v>
      </x:c>
      <x:c r="E267" s="5" t="n">
        <x:v>45590</x:v>
      </x:c>
      <x:c r="F267" s="5" t="n">
        <x:v>51269</x:v>
      </x:c>
      <x:c r="G267" s="5" t="n">
        <x:f>F267-$D267</x:f>
        <x:v>5874.250738769864</x:v>
      </x:c>
      <x:c r="H267" s="6" t="n">
        <x:f>G267/$D267</x:f>
        <x:v>0.12940374898792162</x:v>
      </x:c>
      <x:c r="I267" s="5" t="n">
        <x:f>ABS(G267)</x:f>
        <x:v>5874.250738769864</x:v>
      </x:c>
      <x:c r="J267" s="6" t="n">
        <x:f>ABS(H267)</x:f>
        <x:v>0.12940374898792162</x:v>
      </x:c>
      <x:c r="K267" s="5" t="n">
        <x:v>56434.70430695952</x:v>
      </x:c>
      <x:c r="L267" s="5" t="n">
        <x:f>K267-$D267</x:f>
        <x:v>11039.95504572938</x:v>
      </x:c>
      <x:c r="M267" s="6" t="n">
        <x:f>L267/$D267</x:f>
        <x:v>0.24319894316848162</x:v>
      </x:c>
      <x:c r="N267" s="5" t="n">
        <x:f>ABS(L267)</x:f>
        <x:v>11039.95504572938</x:v>
      </x:c>
      <x:c r="O267" s="6" t="n">
        <x:f>ABS(M267)</x:f>
        <x:v>0.24319894316848162</x:v>
      </x:c>
      <x:c r="P267" s="5" t="n">
        <x:v>86897.68358318765</x:v>
      </x:c>
      <x:c r="Q267" s="5" t="n">
        <x:f>P267-$D267</x:f>
        <x:v>41502.93432195752</x:v>
      </x:c>
      <x:c r="R267" s="6" t="n">
        <x:f>Q267/$D267</x:f>
        <x:v>0.9142672885606956</x:v>
      </x:c>
      <x:c r="S267" s="5" t="n">
        <x:f>ABS(Q267)</x:f>
        <x:v>41502.93432195752</x:v>
      </x:c>
      <x:c r="T267" s="6" t="n">
        <x:f>ABS(R267)</x:f>
        <x:v>0.9142672885606956</x:v>
      </x:c>
    </x:row>
    <x:row r="268">
      <x:c r="A268" s="4"/>
      <x:c r="B268" s="4" t="str">
        <x:v>Uncía</x:v>
      </x:c>
      <x:c r="C268" s="5" t="n">
        <x:v>22020</x:v>
      </x:c>
      <x:c r="D268" s="5" t="n">
        <x:v>22578.651000743972</x:v>
      </x:c>
      <x:c r="E268" s="5" t="n">
        <x:v>22768</x:v>
      </x:c>
      <x:c r="F268" s="5" t="n">
        <x:v>22758</x:v>
      </x:c>
      <x:c r="G268" s="5" t="n">
        <x:f>F268-$D268</x:f>
        <x:v>179.34899925602804</x:v>
      </x:c>
      <x:c r="H268" s="6" t="n">
        <x:f>G268/$D268</x:f>
        <x:v>0.007943300033740653</x:v>
      </x:c>
      <x:c r="I268" s="5" t="n">
        <x:f>ABS(G268)</x:f>
        <x:v>179.34899925602804</x:v>
      </x:c>
      <x:c r="J268" s="6" t="n">
        <x:f>ABS(H268)</x:f>
        <x:v>0.007943300033740653</x:v>
      </x:c>
      <x:c r="K268" s="5" t="n">
        <x:v>19936.768213575804</x:v>
      </x:c>
      <x:c r="L268" s="5" t="n">
        <x:f>K268-$D268</x:f>
        <x:v>-2641.882787168168</x:v>
      </x:c>
      <x:c r="M268" s="6" t="n">
        <x:f>L268/$D268</x:f>
        <x:v>-0.11700799959577378</x:v>
      </x:c>
      <x:c r="N268" s="5" t="n">
        <x:f>ABS(L268)</x:f>
        <x:v>2641.882787168168</x:v>
      </x:c>
      <x:c r="O268" s="6" t="n">
        <x:f>ABS(M268)</x:f>
        <x:v>0.11700799959577378</x:v>
      </x:c>
      <x:c r="P268" s="5" t="n">
        <x:v>15235.89256709563</x:v>
      </x:c>
      <x:c r="Q268" s="5" t="n">
        <x:f>P268-$D268</x:f>
        <x:v>-7342.758433648341</x:v>
      </x:c>
      <x:c r="R268" s="6" t="n">
        <x:f>Q268/$D268</x:f>
        <x:v>-0.32520802210045213</x:v>
      </x:c>
      <x:c r="S268" s="5" t="n">
        <x:f>ABS(Q268)</x:f>
        <x:v>7342.758433648341</x:v>
      </x:c>
      <x:c r="T268" s="6" t="n">
        <x:f>ABS(R268)</x:f>
        <x:v>0.32520802210045213</x:v>
      </x:c>
    </x:row>
    <x:row r="269">
      <x:c r="A269" s="4"/>
      <x:c r="B269" s="4" t="str">
        <x:v>Urmiri</x:v>
      </x:c>
      <x:c r="C269" s="5" t="n">
        <x:v>2759</x:v>
      </x:c>
      <x:c r="D269" s="5" t="n">
        <x:v>3026.2740345884895</x:v>
      </x:c>
      <x:c r="E269" s="5" t="n">
        <x:v>3121</x:v>
      </x:c>
      <x:c r="F269" s="5" t="n">
        <x:v>2066</x:v>
      </x:c>
      <x:c r="G269" s="5" t="n">
        <x:f>F269-$D269</x:f>
        <x:v>-960.2740345884895</x:v>
      </x:c>
      <x:c r="H269" s="6" t="n">
        <x:f>G269/$D269</x:f>
        <x:v>-0.3173123199066362</x:v>
      </x:c>
      <x:c r="I269" s="5" t="n">
        <x:f>ABS(G269)</x:f>
        <x:v>960.2740345884895</x:v>
      </x:c>
      <x:c r="J269" s="6" t="n">
        <x:f>ABS(H269)</x:f>
        <x:v>0.3173123199066362</x:v>
      </x:c>
      <x:c r="K269" s="5" t="n">
        <x:v>5903.389924476974</x:v>
      </x:c>
      <x:c r="L269" s="5" t="n">
        <x:f>K269-$D269</x:f>
        <x:v>2877.115889888484</x:v>
      </x:c>
      <x:c r="M269" s="6" t="n">
        <x:f>L269/$D269</x:f>
        <x:v>0.9507122808459454</x:v>
      </x:c>
      <x:c r="N269" s="5" t="n">
        <x:f>ABS(L269)</x:f>
        <x:v>2877.115889888484</x:v>
      </x:c>
      <x:c r="O269" s="6" t="n">
        <x:f>ABS(M269)</x:f>
        <x:v>0.9507122808459454</x:v>
      </x:c>
      <x:c r="P269" s="5" t="n">
        <x:v>5132.773726539686</x:v>
      </x:c>
      <x:c r="Q269" s="5" t="n">
        <x:f>P269-$D269</x:f>
        <x:v>2106.499691951197</x:v>
      </x:c>
      <x:c r="R269" s="6" t="n">
        <x:f>Q269/$D269</x:f>
        <x:v>0.6960703716435372</x:v>
      </x:c>
      <x:c r="S269" s="5" t="n">
        <x:f>ABS(Q269)</x:f>
        <x:v>2106.499691951197</x:v>
      </x:c>
      <x:c r="T269" s="6" t="n">
        <x:f>ABS(R269)</x:f>
        <x:v>0.6960703716435372</x:v>
      </x:c>
    </x:row>
    <x:row r="270">
      <x:c r="A270" s="4"/>
      <x:c r="B270" s="4" t="str">
        <x:v>Uyuni</x:v>
      </x:c>
      <x:c r="C270" s="5" t="n">
        <x:v>29672</x:v>
      </x:c>
      <x:c r="D270" s="5" t="n">
        <x:v>33813.00601404734</x:v>
      </x:c>
      <x:c r="E270" s="5" t="n">
        <x:v>35318</x:v>
      </x:c>
      <x:c r="F270" s="5" t="n">
        <x:v>37188</x:v>
      </x:c>
      <x:c r="G270" s="5" t="n">
        <x:f>F270-$D270</x:f>
        <x:v>3374.9939859526567</x:v>
      </x:c>
      <x:c r="H270" s="6" t="n">
        <x:f>G270/$D270</x:f>
        <x:v>0.0998134855135489</x:v>
      </x:c>
      <x:c r="I270" s="5" t="n">
        <x:f>ABS(G270)</x:f>
        <x:v>3374.9939859526567</x:v>
      </x:c>
      <x:c r="J270" s="6" t="n">
        <x:f>ABS(H270)</x:f>
        <x:v>0.0998134855135489</x:v>
      </x:c>
      <x:c r="K270" s="5" t="n">
        <x:v>40108.76131382449</x:v>
      </x:c>
      <x:c r="L270" s="5" t="n">
        <x:f>K270-$D270</x:f>
        <x:v>6295.755299777149</x:v>
      </x:c>
      <x:c r="M270" s="6" t="n">
        <x:f>L270/$D270</x:f>
        <x:v>0.18619330375896267</x:v>
      </x:c>
      <x:c r="N270" s="5" t="n">
        <x:f>ABS(L270)</x:f>
        <x:v>6295.755299777149</x:v>
      </x:c>
      <x:c r="O270" s="6" t="n">
        <x:f>ABS(M270)</x:f>
        <x:v>0.18619330375896267</x:v>
      </x:c>
      <x:c r="P270" s="5" t="n">
        <x:v>57778.77947489747</x:v>
      </x:c>
      <x:c r="Q270" s="5" t="n">
        <x:f>P270-$D270</x:f>
        <x:v>23965.773460850127</x:v>
      </x:c>
      <x:c r="R270" s="6" t="n">
        <x:f>Q270/$D270</x:f>
        <x:v>0.7087738206681103</x:v>
      </x:c>
      <x:c r="S270" s="5" t="n">
        <x:f>ABS(Q270)</x:f>
        <x:v>23965.773460850127</x:v>
      </x:c>
      <x:c r="T270" s="6" t="n">
        <x:f>ABS(R270)</x:f>
        <x:v>0.7087738206681103</x:v>
      </x:c>
    </x:row>
    <x:row r="271">
      <x:c r="A271" s="4"/>
      <x:c r="B271" s="4" t="str">
        <x:v>Villazón</x:v>
      </x:c>
      <x:c r="C271" s="5" t="n">
        <x:v>44906</x:v>
      </x:c>
      <x:c r="D271" s="5" t="n">
        <x:v>48192.055670273076</x:v>
      </x:c>
      <x:c r="E271" s="5" t="n">
        <x:v>49340</x:v>
      </x:c>
      <x:c r="F271" s="5" t="n">
        <x:v>46757</x:v>
      </x:c>
      <x:c r="G271" s="5" t="n">
        <x:f>F271-$D271</x:f>
        <x:v>-1435.0556702730755</x:v>
      </x:c>
      <x:c r="H271" s="6" t="n">
        <x:f>G271/$D271</x:f>
        <x:v>-0.029777847205598233</x:v>
      </x:c>
      <x:c r="I271" s="5" t="n">
        <x:f>ABS(G271)</x:f>
        <x:v>1435.0556702730755</x:v>
      </x:c>
      <x:c r="J271" s="6" t="n">
        <x:f>ABS(H271)</x:f>
        <x:v>0.029777847205598233</x:v>
      </x:c>
      <x:c r="K271" s="5" t="n">
        <x:v>66618.52578904263</x:v>
      </x:c>
      <x:c r="L271" s="5" t="n">
        <x:f>K271-$D271</x:f>
        <x:v>18426.470118769554</x:v>
      </x:c>
      <x:c r="M271" s="6" t="n">
        <x:f>L271/$D271</x:f>
        <x:v>0.3823549309629427</x:v>
      </x:c>
      <x:c r="N271" s="5" t="n">
        <x:f>ABS(L271)</x:f>
        <x:v>18426.470118769554</x:v>
      </x:c>
      <x:c r="O271" s="6" t="n">
        <x:f>ABS(M271)</x:f>
        <x:v>0.3823549309629427</x:v>
      </x:c>
      <x:c r="P271" s="5" t="n">
        <x:v>49551.79853430684</x:v>
      </x:c>
      <x:c r="Q271" s="5" t="n">
        <x:f>P271-$D271</x:f>
        <x:v>1359.7428640337675</x:v>
      </x:c>
      <x:c r="R271" s="6" t="n">
        <x:f>Q271/$D271</x:f>
        <x:v>0.02821508327714925</x:v>
      </x:c>
      <x:c r="S271" s="5" t="n">
        <x:f>ABS(Q271)</x:f>
        <x:v>1359.7428640337675</x:v>
      </x:c>
      <x:c r="T271" s="6" t="n">
        <x:f>ABS(R271)</x:f>
        <x:v>0.02821508327714925</x:v>
      </x:c>
    </x:row>
    <x:row r="272">
      <x:c r="A272" s="4"/>
      <x:c r="B272" s="4" t="str">
        <x:v>Vitichi</x:v>
      </x:c>
      <x:c r="C272" s="5" t="n">
        <x:v>10646</x:v>
      </x:c>
      <x:c r="D272" s="5" t="n">
        <x:v>10297.585544786049</x:v>
      </x:c>
      <x:c r="E272" s="5" t="n">
        <x:v>10184</x:v>
      </x:c>
      <x:c r="F272" s="5" t="n">
        <x:v>9195</x:v>
      </x:c>
      <x:c r="G272" s="5" t="n">
        <x:f>F272-$D272</x:f>
        <x:v>-1102.5855447860486</x:v>
      </x:c>
      <x:c r="H272" s="6" t="n">
        <x:f>G272/$D272</x:f>
        <x:v>-0.10707223940900573</x:v>
      </x:c>
      <x:c r="I272" s="5" t="n">
        <x:f>ABS(G272)</x:f>
        <x:v>1102.5855447860486</x:v>
      </x:c>
      <x:c r="J272" s="6" t="n">
        <x:f>ABS(H272)</x:f>
        <x:v>0.10707223940900573</x:v>
      </x:c>
      <x:c r="K272" s="5" t="n">
        <x:v>11341.979473093515</x:v>
      </x:c>
      <x:c r="L272" s="5" t="n">
        <x:f>K272-$D272</x:f>
        <x:v>1044.393928307467</x:v>
      </x:c>
      <x:c r="M272" s="6" t="n">
        <x:f>L272/$D272</x:f>
        <x:v>0.10142124323854462</x:v>
      </x:c>
      <x:c r="N272" s="5" t="n">
        <x:f>ABS(L272)</x:f>
        <x:v>1044.393928307467</x:v>
      </x:c>
      <x:c r="O272" s="6" t="n">
        <x:f>ABS(M272)</x:f>
        <x:v>0.10142124323854462</x:v>
      </x:c>
      <x:c r="P272" s="5" t="n">
        <x:v>8916.798412442775</x:v>
      </x:c>
      <x:c r="Q272" s="5" t="n">
        <x:f>P272-$D272</x:f>
        <x:v>-1380.7871323432737</x:v>
      </x:c>
      <x:c r="R272" s="6" t="n">
        <x:f>Q272/$D272</x:f>
        <x:v>-0.13408843522959654</x:v>
      </x:c>
      <x:c r="S272" s="5" t="n">
        <x:f>ABS(Q272)</x:f>
        <x:v>1380.7871323432737</x:v>
      </x:c>
      <x:c r="T272" s="6" t="n">
        <x:f>ABS(R272)</x:f>
        <x:v>0.13408843522959654</x:v>
      </x:c>
    </x:row>
    <x:row r="273">
      <x:c r="A273" s="4"/>
      <x:c r="B273" s="4" t="str">
        <x:v>Yocalla</x:v>
      </x:c>
      <x:c r="C273" s="5" t="n">
        <x:v>8979</x:v>
      </x:c>
      <x:c r="D273" s="5" t="n">
        <x:v>11336.756484702097</x:v>
      </x:c>
      <x:c r="E273" s="5" t="n">
        <x:v>12253</x:v>
      </x:c>
      <x:c r="F273" s="5" t="n">
        <x:v>7677</x:v>
      </x:c>
      <x:c r="G273" s="5" t="n">
        <x:f>F273-$D273</x:f>
        <x:v>-3659.7564847020967</x:v>
      </x:c>
      <x:c r="H273" s="6" t="n">
        <x:f>G273/$D273</x:f>
        <x:v>-0.322822183720767</x:v>
      </x:c>
      <x:c r="I273" s="5" t="n">
        <x:f>ABS(G273)</x:f>
        <x:v>3659.7564847020967</x:v>
      </x:c>
      <x:c r="J273" s="6" t="n">
        <x:f>ABS(H273)</x:f>
        <x:v>0.322822183720767</x:v>
      </x:c>
      <x:c r="K273" s="5" t="n">
        <x:v>7573.495405318059</x:v>
      </x:c>
      <x:c r="L273" s="5" t="n">
        <x:f>K273-$D273</x:f>
        <x:v>-3763.2610793840377</x:v>
      </x:c>
      <x:c r="M273" s="6" t="n">
        <x:f>L273/$D273</x:f>
        <x:v>-0.3319521844243731</x:v>
      </x:c>
      <x:c r="N273" s="5" t="n">
        <x:f>ABS(L273)</x:f>
        <x:v>3763.2610793840377</x:v>
      </x:c>
      <x:c r="O273" s="6" t="n">
        <x:f>ABS(M273)</x:f>
        <x:v>0.3319521844243731</x:v>
      </x:c>
      <x:c r="P273" s="5" t="n">
        <x:v>16418.5968558804</x:v>
      </x:c>
      <x:c r="Q273" s="5" t="n">
        <x:f>P273-$D273</x:f>
        <x:v>5081.840371178305</x:v>
      </x:c>
      <x:c r="R273" s="6" t="n">
        <x:f>Q273/$D273</x:f>
        <x:v>0.4482622854284449</x:v>
      </x:c>
      <x:c r="S273" s="5" t="n">
        <x:f>ABS(Q273)</x:f>
        <x:v>5081.840371178305</x:v>
      </x:c>
      <x:c r="T273" s="6" t="n">
        <x:f>ABS(R273)</x:f>
        <x:v>0.4482622854284449</x:v>
      </x:c>
    </x:row>
    <x:row r="274">
      <x:c r="A274" s="4"/>
      <x:c r="B274" s="4" t="str">
        <x:v>Ascención de Guarayos</x:v>
      </x:c>
      <x:c r="C274" s="5" t="n">
        <x:v>27070</x:v>
      </x:c>
      <x:c r="D274" s="5" t="n">
        <x:v>32172.676776359072</x:v>
      </x:c>
      <x:c r="E274" s="5" t="n">
        <x:v>34079</x:v>
      </x:c>
      <x:c r="F274" s="5" t="n">
        <x:v>35132</x:v>
      </x:c>
      <x:c r="G274" s="5" t="n">
        <x:f>F274-$D274</x:f>
        <x:v>2959.3232236409276</x:v>
      </x:c>
      <x:c r="H274" s="6" t="n">
        <x:f>G274/$D274</x:f>
        <x:v>0.09198249944236779</x:v>
      </x:c>
      <x:c r="I274" s="5" t="n">
        <x:f>ABS(G274)</x:f>
        <x:v>2959.3232236409276</x:v>
      </x:c>
      <x:c r="J274" s="6" t="n">
        <x:f>ABS(H274)</x:f>
        <x:v>0.09198249944236779</x:v>
      </x:c>
      <x:c r="K274" s="5" t="n">
        <x:v>25444.28920298221</x:v>
      </x:c>
      <x:c r="L274" s="5" t="n">
        <x:f>K274-$D274</x:f>
        <x:v>-6728.387573376862</x:v>
      </x:c>
      <x:c r="M274" s="6" t="n">
        <x:f>L274/$D274</x:f>
        <x:v>-0.20913359557079111</x:v>
      </x:c>
      <x:c r="N274" s="5" t="n">
        <x:f>ABS(L274)</x:f>
        <x:v>6728.387573376862</x:v>
      </x:c>
      <x:c r="O274" s="6" t="n">
        <x:f>ABS(M274)</x:f>
        <x:v>0.20913359557079111</x:v>
      </x:c>
      <x:c r="P274" s="5" t="n">
        <x:v>55115.65959786336</x:v>
      </x:c>
      <x:c r="Q274" s="5" t="n">
        <x:f>P274-$D274</x:f>
        <x:v>22942.98282150429</x:v>
      </x:c>
      <x:c r="R274" s="6" t="n">
        <x:f>Q274/$D274</x:f>
        <x:v>0.7131201106139577</x:v>
      </x:c>
      <x:c r="S274" s="5" t="n">
        <x:f>ABS(Q274)</x:f>
        <x:v>22942.98282150429</x:v>
      </x:c>
      <x:c r="T274" s="6" t="n">
        <x:f>ABS(R274)</x:f>
        <x:v>0.7131201106139577</x:v>
      </x:c>
    </x:row>
    <x:row r="275">
      <x:c r="A275" s="4"/>
      <x:c r="B275" s="4" t="str">
        <x:v>Boyuibe</x:v>
      </x:c>
      <x:c r="C275" s="5" t="n">
        <x:v>5087</x:v>
      </x:c>
      <x:c r="D275" s="5" t="n">
        <x:v>5475.876959572817</x:v>
      </x:c>
      <x:c r="E275" s="5" t="n">
        <x:v>5612</x:v>
      </x:c>
      <x:c r="F275" s="5" t="n">
        <x:v>5273</x:v>
      </x:c>
      <x:c r="G275" s="5" t="n">
        <x:f>F275-$D275</x:f>
        <x:v>-202.8769595728172</x:v>
      </x:c>
      <x:c r="H275" s="6" t="n">
        <x:f>G275/$D275</x:f>
        <x:v>-0.037049218065090345</x:v>
      </x:c>
      <x:c r="I275" s="5" t="n">
        <x:f>ABS(G275)</x:f>
        <x:v>202.8769595728172</x:v>
      </x:c>
      <x:c r="J275" s="6" t="n">
        <x:f>ABS(H275)</x:f>
        <x:v>0.037049218065090345</x:v>
      </x:c>
      <x:c r="K275" s="5" t="n">
        <x:v>7994.4351672803905</x:v>
      </x:c>
      <x:c r="L275" s="5" t="n">
        <x:f>K275-$D275</x:f>
        <x:v>2518.5582077075733</x:v>
      </x:c>
      <x:c r="M275" s="6" t="n">
        <x:f>L275/$D275</x:f>
        <x:v>0.4599369610204044</x:v>
      </x:c>
      <x:c r="N275" s="5" t="n">
        <x:f>ABS(L275)</x:f>
        <x:v>2518.5582077075733</x:v>
      </x:c>
      <x:c r="O275" s="6" t="n">
        <x:f>ABS(M275)</x:f>
        <x:v>0.4599369610204044</x:v>
      </x:c>
      <x:c r="P275" s="5" t="n">
        <x:v>4325.365400839306</x:v>
      </x:c>
      <x:c r="Q275" s="5" t="n">
        <x:f>P275-$D275</x:f>
        <x:v>-1150.5115587335113</x:v>
      </x:c>
      <x:c r="R275" s="6" t="n">
        <x:f>Q275/$D275</x:f>
        <x:v>-0.21010544379055307</x:v>
      </x:c>
      <x:c r="S275" s="5" t="n">
        <x:f>ABS(Q275)</x:f>
        <x:v>1150.5115587335113</x:v>
      </x:c>
      <x:c r="T275" s="6" t="n">
        <x:f>ABS(R275)</x:f>
        <x:v>0.21010544379055307</x:v>
      </x:c>
    </x:row>
    <x:row r="276">
      <x:c r="A276" s="4"/>
      <x:c r="B276" s="4" t="str">
        <x:v>Buena Vista</x:v>
      </x:c>
      <x:c r="C276" s="5" t="n">
        <x:v>12879</x:v>
      </x:c>
      <x:c r="D276" s="5" t="n">
        <x:v>13453.766496283873</x:v>
      </x:c>
      <x:c r="E276" s="5" t="n">
        <x:v>13651</x:v>
      </x:c>
      <x:c r="F276" s="5" t="n">
        <x:v>14764</x:v>
      </x:c>
      <x:c r="G276" s="5" t="n">
        <x:f>F276-$D276</x:f>
        <x:v>1310.2335037161265</x:v>
      </x:c>
      <x:c r="H276" s="6" t="n">
        <x:f>G276/$D276</x:f>
        <x:v>0.09738785819406276</x:v>
      </x:c>
      <x:c r="I276" s="5" t="n">
        <x:f>ABS(G276)</x:f>
        <x:v>1310.2335037161265</x:v>
      </x:c>
      <x:c r="J276" s="6" t="n">
        <x:f>ABS(H276)</x:f>
        <x:v>0.09738785819406276</x:v>
      </x:c>
      <x:c r="K276" s="5" t="n">
        <x:v>18152.94522666135</x:v>
      </x:c>
      <x:c r="L276" s="5" t="n">
        <x:f>K276-$D276</x:f>
        <x:v>4699.178730377478</x:v>
      </x:c>
      <x:c r="M276" s="6" t="n">
        <x:f>L276/$D276</x:f>
        <x:v>0.3492835059739932</x:v>
      </x:c>
      <x:c r="N276" s="5" t="n">
        <x:f>ABS(L276)</x:f>
        <x:v>4699.178730377478</x:v>
      </x:c>
      <x:c r="O276" s="6" t="n">
        <x:f>ABS(M276)</x:f>
        <x:v>0.3492835059739932</x:v>
      </x:c>
      <x:c r="P276" s="5" t="n">
        <x:v>18006.00871155718</x:v>
      </x:c>
      <x:c r="Q276" s="5" t="n">
        <x:f>P276-$D276</x:f>
        <x:v>4552.242215273307</x:v>
      </x:c>
      <x:c r="R276" s="6" t="n">
        <x:f>Q276/$D276</x:f>
        <x:v>0.33836191645891156</x:v>
      </x:c>
      <x:c r="S276" s="5" t="n">
        <x:f>ABS(Q276)</x:f>
        <x:v>4552.242215273307</x:v>
      </x:c>
      <x:c r="T276" s="6" t="n">
        <x:f>ABS(R276)</x:f>
        <x:v>0.33836191645891156</x:v>
      </x:c>
    </x:row>
    <x:row r="277">
      <x:c r="A277" s="4"/>
      <x:c r="B277" s="4" t="str">
        <x:v>Cabezas</x:v>
      </x:c>
      <x:c r="C277" s="5" t="n">
        <x:v>26434</x:v>
      </x:c>
      <x:c r="D277" s="5" t="n">
        <x:v>31191.84081807756</x:v>
      </x:c>
      <x:c r="E277" s="5" t="n">
        <x:v>32961</x:v>
      </x:c>
      <x:c r="F277" s="5" t="n">
        <x:v>29641</x:v>
      </x:c>
      <x:c r="G277" s="5" t="n">
        <x:f>F277-$D277</x:f>
        <x:v>-1550.8408180775587</x:v>
      </x:c>
      <x:c r="H277" s="6" t="n">
        <x:f>G277/$D277</x:f>
        <x:v>-0.049719438718690584</x:v>
      </x:c>
      <x:c r="I277" s="5" t="n">
        <x:f>ABS(G277)</x:f>
        <x:v>1550.8408180775587</x:v>
      </x:c>
      <x:c r="J277" s="6" t="n">
        <x:f>ABS(H277)</x:f>
        <x:v>0.049719438718690584</x:v>
      </x:c>
      <x:c r="K277" s="5" t="n">
        <x:v>31636.073928023976</x:v>
      </x:c>
      <x:c r="L277" s="5" t="n">
        <x:f>K277-$D277</x:f>
        <x:v>444.23310994641724</x:v>
      </x:c>
      <x:c r="M277" s="6" t="n">
        <x:f>L277/$D277</x:f>
        <x:v>0.014241965151635337</x:v>
      </x:c>
      <x:c r="N277" s="5" t="n">
        <x:f>ABS(L277)</x:f>
        <x:v>444.23310994641724</x:v>
      </x:c>
      <x:c r="O277" s="6" t="n">
        <x:f>ABS(M277)</x:f>
        <x:v>0.014241965151635337</x:v>
      </x:c>
      <x:c r="P277" s="5" t="n">
        <x:v>36832.94923356816</x:v>
      </x:c>
      <x:c r="Q277" s="5" t="n">
        <x:f>P277-$D277</x:f>
        <x:v>5641.108415490598</x:v>
      </x:c>
      <x:c r="R277" s="6" t="n">
        <x:f>Q277/$D277</x:f>
        <x:v>0.18085205193215897</x:v>
      </x:c>
      <x:c r="S277" s="5" t="n">
        <x:f>ABS(Q277)</x:f>
        <x:v>5641.108415490598</x:v>
      </x:c>
      <x:c r="T277" s="6" t="n">
        <x:f>ABS(R277)</x:f>
        <x:v>0.18085205193215897</x:v>
      </x:c>
    </x:row>
    <x:row r="278">
      <x:c r="A278" s="4"/>
      <x:c r="B278" s="4" t="str">
        <x:v>Camiri</x:v>
      </x:c>
      <x:c r="C278" s="5" t="n">
        <x:v>33838</x:v>
      </x:c>
      <x:c r="D278" s="5" t="n">
        <x:v>32666.436772232337</x:v>
      </x:c>
      <x:c r="E278" s="5" t="n">
        <x:v>32285</x:v>
      </x:c>
      <x:c r="F278" s="5" t="n">
        <x:v>42164</x:v>
      </x:c>
      <x:c r="G278" s="5" t="n">
        <x:f>F278-$D278</x:f>
        <x:v>9497.563227767663</x:v>
      </x:c>
      <x:c r="H278" s="6" t="n">
        <x:f>G278/$D278</x:f>
        <x:v>0.2907437775962433</x:v>
      </x:c>
      <x:c r="I278" s="5" t="n">
        <x:f>ABS(G278)</x:f>
        <x:v>9497.563227767663</x:v>
      </x:c>
      <x:c r="J278" s="6" t="n">
        <x:f>ABS(H278)</x:f>
        <x:v>0.2907437775962433</x:v>
      </x:c>
      <x:c r="K278" s="5" t="n">
        <x:v>15361.817103072946</x:v>
      </x:c>
      <x:c r="L278" s="5" t="n">
        <x:f>K278-$D278</x:f>
        <x:v>-17304.61966915939</x:v>
      </x:c>
      <x:c r="M278" s="6" t="n">
        <x:f>L278/$D278</x:f>
        <x:v>-0.5297369832472499</x:v>
      </x:c>
      <x:c r="N278" s="5" t="n">
        <x:f>ABS(L278)</x:f>
        <x:v>17304.61966915939</x:v>
      </x:c>
      <x:c r="O278" s="6" t="n">
        <x:f>ABS(M278)</x:f>
        <x:v>0.5297369832472499</x:v>
      </x:c>
      <x:c r="P278" s="5" t="n">
        <x:v>28370.41362529293</x:v>
      </x:c>
      <x:c r="Q278" s="5" t="n">
        <x:f>P278-$D278</x:f>
        <x:v>-4296.023146939406</x:v>
      </x:c>
      <x:c r="R278" s="6" t="n">
        <x:f>Q278/$D278</x:f>
        <x:v>-0.13151183818711387</x:v>
      </x:c>
      <x:c r="S278" s="5" t="n">
        <x:f>ABS(Q278)</x:f>
        <x:v>4296.023146939406</x:v>
      </x:c>
      <x:c r="T278" s="6" t="n">
        <x:f>ABS(R278)</x:f>
        <x:v>0.13151183818711387</x:v>
      </x:c>
    </x:row>
    <x:row r="279">
      <x:c r="A279" s="4"/>
      <x:c r="B279" s="4" t="str">
        <x:v>Charagua (Autonomía Guaraní Charagua Iyambae)</x:v>
      </x:c>
      <x:c r="C279" s="5" t="n">
        <x:v>32186</x:v>
      </x:c>
      <x:c r="D279" s="5" t="n">
        <x:v>36756.55260178789</x:v>
      </x:c>
      <x:c r="E279" s="5" t="n">
        <x:v>38420</x:v>
      </x:c>
      <x:c r="F279" s="5" t="n">
        <x:v>36651</x:v>
      </x:c>
      <x:c r="G279" s="5" t="n">
        <x:f>F279-$D279</x:f>
        <x:v>-105.5526017878874</x:v>
      </x:c>
      <x:c r="H279" s="6" t="n">
        <x:f>G279/$D279</x:f>
        <x:v>-0.0028716676161505196</x:v>
      </x:c>
      <x:c r="I279" s="5" t="n">
        <x:f>ABS(G279)</x:f>
        <x:v>105.5526017878874</x:v>
      </x:c>
      <x:c r="J279" s="6" t="n">
        <x:f>ABS(H279)</x:f>
        <x:v>0.0028716676161505196</x:v>
      </x:c>
      <x:c r="K279" s="5" t="n">
        <x:v>75607.38906403031</x:v>
      </x:c>
      <x:c r="L279" s="5" t="n">
        <x:f>K279-$D279</x:f>
        <x:v>38850.83646224243</x:v>
      </x:c>
      <x:c r="M279" s="6" t="n">
        <x:f>L279/$D279</x:f>
        <x:v>1.0569771567846291</x:v>
      </x:c>
      <x:c r="N279" s="5" t="n">
        <x:f>ABS(L279)</x:f>
        <x:v>38850.83646224243</x:v>
      </x:c>
      <x:c r="O279" s="6" t="n">
        <x:f>ABS(M279)</x:f>
        <x:v>1.0569771567846291</x:v>
      </x:c>
      <x:c r="P279" s="5" t="n">
        <x:v>44595.052507715765</x:v>
      </x:c>
      <x:c r="Q279" s="5" t="n">
        <x:f>P279-$D279</x:f>
        <x:v>7838.499905927878</x:v>
      </x:c>
      <x:c r="R279" s="6" t="n">
        <x:f>Q279/$D279</x:f>
        <x:v>0.2132544907257326</x:v>
      </x:c>
      <x:c r="S279" s="5" t="n">
        <x:f>ABS(Q279)</x:f>
        <x:v>7838.499905927878</x:v>
      </x:c>
      <x:c r="T279" s="6" t="n">
        <x:f>ABS(R279)</x:f>
        <x:v>0.2132544907257326</x:v>
      </x:c>
    </x:row>
    <x:row r="280">
      <x:c r="A280" s="4"/>
      <x:c r="B280" s="4" t="str">
        <x:v>Colpa Bélgica</x:v>
      </x:c>
      <x:c r="C280" s="5" t="n">
        <x:v>6069</x:v>
      </x:c>
      <x:c r="D280" s="5" t="n">
        <x:v>6022.4403661480155</x:v>
      </x:c>
      <x:c r="E280" s="5" t="n">
        <x:v>6007</x:v>
      </x:c>
      <x:c r="F280" s="5" t="n">
        <x:v>6880</x:v>
      </x:c>
      <x:c r="G280" s="5" t="n">
        <x:f>F280-$D280</x:f>
        <x:v>857.5596338519845</x:v>
      </x:c>
      <x:c r="H280" s="6" t="n">
        <x:f>G280/$D280</x:f>
        <x:v>0.14239404323076496</x:v>
      </x:c>
      <x:c r="I280" s="5" t="n">
        <x:f>ABS(G280)</x:f>
        <x:v>857.5596338519845</x:v>
      </x:c>
      <x:c r="J280" s="6" t="n">
        <x:f>ABS(H280)</x:f>
        <x:v>0.14239404323076496</x:v>
      </x:c>
      <x:c r="K280" s="5" t="n">
        <x:v>6738.683397463671</x:v>
      </x:c>
      <x:c r="L280" s="5" t="n">
        <x:f>K280-$D280</x:f>
        <x:v>716.2430313156556</x:v>
      </x:c>
      <x:c r="M280" s="6" t="n">
        <x:f>L280/$D280</x:f>
        <x:v>0.11892903669775454</x:v>
      </x:c>
      <x:c r="N280" s="5" t="n">
        <x:f>ABS(L280)</x:f>
        <x:v>716.2430313156556</x:v>
      </x:c>
      <x:c r="O280" s="6" t="n">
        <x:f>ABS(M280)</x:f>
        <x:v>0.11892903669775454</x:v>
      </x:c>
      <x:c r="P280" s="5" t="n">
        <x:v>8433.248621759041</x:v>
      </x:c>
      <x:c r="Q280" s="5" t="n">
        <x:f>P280-$D280</x:f>
        <x:v>2410.8082556110257</x:v>
      </x:c>
      <x:c r="R280" s="6" t="n">
        <x:f>Q280/$D280</x:f>
        <x:v>0.4003042137473237</x:v>
      </x:c>
      <x:c r="S280" s="5" t="n">
        <x:f>ABS(Q280)</x:f>
        <x:v>2410.8082556110257</x:v>
      </x:c>
      <x:c r="T280" s="6" t="n">
        <x:f>ABS(R280)</x:f>
        <x:v>0.4003042137473237</x:v>
      </x:c>
    </x:row>
    <x:row r="281">
      <x:c r="A281" s="4"/>
      <x:c r="B281" s="4" t="str">
        <x:v>Comarapa</x:v>
      </x:c>
      <x:c r="C281" s="5" t="n">
        <x:v>15919</x:v>
      </x:c>
      <x:c r="D281" s="5" t="n">
        <x:v>16866.717880372504</x:v>
      </x:c>
      <x:c r="E281" s="5" t="n">
        <x:v>17195</x:v>
      </x:c>
      <x:c r="F281" s="5" t="n">
        <x:v>19745</x:v>
      </x:c>
      <x:c r="G281" s="5" t="n">
        <x:f>F281-$D281</x:f>
        <x:v>2878.2821196274963</x:v>
      </x:c>
      <x:c r="H281" s="6" t="n">
        <x:f>G281/$D281</x:f>
        <x:v>0.17064861937229064</x:v>
      </x:c>
      <x:c r="I281" s="5" t="n">
        <x:f>ABS(G281)</x:f>
        <x:v>2878.2821196274963</x:v>
      </x:c>
      <x:c r="J281" s="6" t="n">
        <x:f>ABS(H281)</x:f>
        <x:v>0.17064861937229064</x:v>
      </x:c>
      <x:c r="K281" s="5" t="n">
        <x:v>25384.55193605636</x:v>
      </x:c>
      <x:c r="L281" s="5" t="n">
        <x:f>K281-$D281</x:f>
        <x:v>8517.834055683856</x:v>
      </x:c>
      <x:c r="M281" s="6" t="n">
        <x:f>L281/$D281</x:f>
        <x:v>0.5050083908497637</x:v>
      </x:c>
      <x:c r="N281" s="5" t="n">
        <x:f>ABS(L281)</x:f>
        <x:v>8517.834055683856</x:v>
      </x:c>
      <x:c r="O281" s="6" t="n">
        <x:f>ABS(M281)</x:f>
        <x:v>0.5050083908497637</x:v>
      </x:c>
      <x:c r="P281" s="5" t="n">
        <x:v>16802.169748869637</x:v>
      </x:c>
      <x:c r="Q281" s="5" t="n">
        <x:f>P281-$D281</x:f>
        <x:v>-64.54813150286645</x:v>
      </x:c>
      <x:c r="R281" s="6" t="n">
        <x:f>Q281/$D281</x:f>
        <x:v>-0.003826952698247236</x:v>
      </x:c>
      <x:c r="S281" s="5" t="n">
        <x:f>ABS(Q281)</x:f>
        <x:v>64.54813150286645</x:v>
      </x:c>
      <x:c r="T281" s="6" t="n">
        <x:f>ABS(R281)</x:f>
        <x:v>0.003826952698247236</x:v>
      </x:c>
    </x:row>
    <x:row r="282">
      <x:c r="A282" s="4"/>
      <x:c r="B282" s="4" t="str">
        <x:v>Concepción</x:v>
      </x:c>
      <x:c r="C282" s="5" t="n">
        <x:v>18800</x:v>
      </x:c>
      <x:c r="D282" s="5" t="n">
        <x:v>26770.65880911122</x:v>
      </x:c>
      <x:c r="E282" s="5" t="n">
        <x:v>30118</x:v>
      </x:c>
      <x:c r="F282" s="5" t="n">
        <x:v>25863</x:v>
      </x:c>
      <x:c r="G282" s="5" t="n">
        <x:f>F282-$D282</x:f>
        <x:v>-907.6588091112208</x:v>
      </x:c>
      <x:c r="H282" s="6" t="n">
        <x:f>G282/$D282</x:f>
        <x:v>-0.03390498588709759</x:v>
      </x:c>
      <x:c r="I282" s="5" t="n">
        <x:f>ABS(G282)</x:f>
        <x:v>907.6588091112208</x:v>
      </x:c>
      <x:c r="J282" s="6" t="n">
        <x:f>ABS(H282)</x:f>
        <x:v>0.03390498588709759</x:v>
      </x:c>
      <x:c r="K282" s="5" t="n">
        <x:v>37716.03477804306</x:v>
      </x:c>
      <x:c r="L282" s="5" t="n">
        <x:f>K282-$D282</x:f>
        <x:v>10945.37596893184</x:v>
      </x:c>
      <x:c r="M282" s="6" t="n">
        <x:f>L282/$D282</x:f>
        <x:v>0.40885717632046664</x:v>
      </x:c>
      <x:c r="N282" s="5" t="n">
        <x:f>ABS(L282)</x:f>
        <x:v>10945.37596893184</x:v>
      </x:c>
      <x:c r="O282" s="6" t="n">
        <x:f>ABS(M282)</x:f>
        <x:v>0.40885717632046664</x:v>
      </x:c>
      <x:c r="P282" s="5" t="n">
        <x:v>26102.77997061108</x:v>
      </x:c>
      <x:c r="Q282" s="5" t="n">
        <x:f>P282-$D282</x:f>
        <x:v>-667.878838500139</x:v>
      </x:c>
      <x:c r="R282" s="6" t="n">
        <x:f>Q282/$D282</x:f>
        <x:v>-0.024948165947743906</x:v>
      </x:c>
      <x:c r="S282" s="5" t="n">
        <x:f>ABS(Q282)</x:f>
        <x:v>667.878838500139</x:v>
      </x:c>
      <x:c r="T282" s="6" t="n">
        <x:f>ABS(R282)</x:f>
        <x:v>0.024948165947743906</x:v>
      </x:c>
    </x:row>
    <x:row r="283">
      <x:c r="A283" s="4"/>
      <x:c r="B283" s="4" t="str">
        <x:v>Cotoca</x:v>
      </x:c>
      <x:c r="C283" s="5" t="n">
        <x:v>55633</x:v>
      </x:c>
      <x:c r="D283" s="5" t="n">
        <x:v>90606.67429366939</x:v>
      </x:c>
      <x:c r="E283" s="5" t="n">
        <x:v>106603</x:v>
      </x:c>
      <x:c r="F283" s="5" t="n">
        <x:v>76922</x:v>
      </x:c>
      <x:c r="G283" s="5" t="n">
        <x:f>F283-$D283</x:f>
        <x:v>-13684.674293669392</x:v>
      </x:c>
      <x:c r="H283" s="6" t="n">
        <x:f>G283/$D283</x:f>
        <x:v>-0.15103384381282303</x:v>
      </x:c>
      <x:c r="I283" s="5" t="n">
        <x:f>ABS(G283)</x:f>
        <x:v>13684.674293669392</x:v>
      </x:c>
      <x:c r="J283" s="6" t="n">
        <x:f>ABS(H283)</x:f>
        <x:v>0.15103384381282303</x:v>
      </x:c>
      <x:c r="K283" s="5" t="n">
        <x:v>49468.11096977952</x:v>
      </x:c>
      <x:c r="L283" s="5" t="n">
        <x:f>K283-$D283</x:f>
        <x:v>-41138.56332388987</x:v>
      </x:c>
      <x:c r="M283" s="6" t="n">
        <x:f>L283/$D283</x:f>
        <x:v>-0.4540345801740147</x:v>
      </x:c>
      <x:c r="N283" s="5" t="n">
        <x:f>ABS(L283)</x:f>
        <x:v>41138.56332388987</x:v>
      </x:c>
      <x:c r="O283" s="6" t="n">
        <x:f>ABS(M283)</x:f>
        <x:v>0.4540345801740147</x:v>
      </x:c>
      <x:c r="P283" s="5" t="n">
        <x:v>65408.13091518233</x:v>
      </x:c>
      <x:c r="Q283" s="5" t="n">
        <x:f>P283-$D283</x:f>
        <x:v>-25198.543378487062</x:v>
      </x:c>
      <x:c r="R283" s="6" t="n">
        <x:f>Q283/$D283</x:f>
        <x:v>-0.2781091302039729</x:v>
      </x:c>
      <x:c r="S283" s="5" t="n">
        <x:f>ABS(Q283)</x:f>
        <x:v>25198.543378487062</x:v>
      </x:c>
      <x:c r="T283" s="6" t="n">
        <x:f>ABS(R283)</x:f>
        <x:v>0.2781091302039729</x:v>
      </x:c>
    </x:row>
    <x:row r="284">
      <x:c r="A284" s="4"/>
      <x:c r="B284" s="4" t="str">
        <x:v>Cuatro Cañadas</x:v>
      </x:c>
      <x:c r="C284" s="5" t="n">
        <x:v>22845</x:v>
      </x:c>
      <x:c r="D284" s="5" t="n">
        <x:v>24631.84878583773</x:v>
      </x:c>
      <x:c r="E284" s="5" t="n">
        <x:v>25258</x:v>
      </x:c>
      <x:c r="F284" s="5" t="n">
        <x:v>25971</x:v>
      </x:c>
      <x:c r="G284" s="5" t="n">
        <x:f>F284-$D284</x:f>
        <x:v>1339.1512141622698</x:v>
      </x:c>
      <x:c r="H284" s="6" t="n">
        <x:f>G284/$D284</x:f>
        <x:v>0.05436665456196796</x:v>
      </x:c>
      <x:c r="I284" s="5" t="n">
        <x:f>ABS(G284)</x:f>
        <x:v>1339.1512141622698</x:v>
      </x:c>
      <x:c r="J284" s="6" t="n">
        <x:f>ABS(H284)</x:f>
        <x:v>0.05436665456196796</x:v>
      </x:c>
      <x:c r="K284" s="5" t="n">
        <x:v>27055.30182255014</x:v>
      </x:c>
      <x:c r="L284" s="5" t="n">
        <x:f>K284-$D284</x:f>
        <x:v>2423.45303671241</x:v>
      </x:c>
      <x:c r="M284" s="6" t="n">
        <x:f>L284/$D284</x:f>
        <x:v>0.09838697280838264</x:v>
      </x:c>
      <x:c r="N284" s="5" t="n">
        <x:f>ABS(L284)</x:f>
        <x:v>2423.45303671241</x:v>
      </x:c>
      <x:c r="O284" s="6" t="n">
        <x:f>ABS(M284)</x:f>
        <x:v>0.09838697280838264</x:v>
      </x:c>
      <x:c r="P284" s="5" t="n">
        <x:v>30355.81791674259</x:v>
      </x:c>
      <x:c r="Q284" s="5" t="n">
        <x:f>P284-$D284</x:f>
        <x:v>5723.969130904861</x:v>
      </x:c>
      <x:c r="R284" s="6" t="n">
        <x:f>Q284/$D284</x:f>
        <x:v>0.23238081642478664</x:v>
      </x:c>
      <x:c r="S284" s="5" t="n">
        <x:f>ABS(Q284)</x:f>
        <x:v>5723.969130904861</x:v>
      </x:c>
      <x:c r="T284" s="6" t="n">
        <x:f>ABS(R284)</x:f>
        <x:v>0.23238081642478664</x:v>
      </x:c>
    </x:row>
    <x:row r="285">
      <x:c r="A285" s="4"/>
      <x:c r="B285" s="4" t="str">
        <x:v>Cuevo</x:v>
      </x:c>
      <x:c r="C285" s="5" t="n">
        <x:v>5052</x:v>
      </x:c>
      <x:c r="D285" s="5" t="n">
        <x:v>5262.797422164371</x:v>
      </x:c>
      <x:c r="E285" s="5" t="n">
        <x:v>5335</x:v>
      </x:c>
      <x:c r="F285" s="5" t="n">
        <x:v>5015</x:v>
      </x:c>
      <x:c r="G285" s="5" t="n">
        <x:f>F285-$D285</x:f>
        <x:v>-247.7974221643708</x:v>
      </x:c>
      <x:c r="H285" s="6" t="n">
        <x:f>G285/$D285</x:f>
        <x:v>-0.04708473503478725</x:v>
      </x:c>
      <x:c r="I285" s="5" t="n">
        <x:f>ABS(G285)</x:f>
        <x:v>247.7974221643708</x:v>
      </x:c>
      <x:c r="J285" s="6" t="n">
        <x:f>ABS(H285)</x:f>
        <x:v>0.04708473503478725</x:v>
      </x:c>
      <x:c r="K285" s="5" t="n">
        <x:v>3487.307189129713</x:v>
      </x:c>
      <x:c r="L285" s="5" t="n">
        <x:f>K285-$D285</x:f>
        <x:v>-1775.4902330346576</x:v>
      </x:c>
      <x:c r="M285" s="6" t="n">
        <x:f>L285/$D285</x:f>
        <x:v>-0.33736625041981416</x:v>
      </x:c>
      <x:c r="N285" s="5" t="n">
        <x:f>ABS(L285)</x:f>
        <x:v>1775.4902330346576</x:v>
      </x:c>
      <x:c r="O285" s="6" t="n">
        <x:f>ABS(M285)</x:f>
        <x:v>0.33736625041981416</x:v>
      </x:c>
      <x:c r="P285" s="5" t="n">
        <x:v>4496.643552821479</x:v>
      </x:c>
      <x:c r="Q285" s="5" t="n">
        <x:f>P285-$D285</x:f>
        <x:v>-766.153869342892</x:v>
      </x:c>
      <x:c r="R285" s="6" t="n">
        <x:f>Q285/$D285</x:f>
        <x:v>-0.14557920586420836</x:v>
      </x:c>
      <x:c r="S285" s="5" t="n">
        <x:f>ABS(Q285)</x:f>
        <x:v>766.153869342892</x:v>
      </x:c>
      <x:c r="T285" s="6" t="n">
        <x:f>ABS(R285)</x:f>
        <x:v>0.14557920586420836</x:v>
      </x:c>
    </x:row>
    <x:row r="286">
      <x:c r="A286" s="4"/>
      <x:c r="B286" s="4" t="str">
        <x:v>El Carmen Rivero Tórrez</x:v>
      </x:c>
      <x:c r="C286" s="5" t="n">
        <x:v>6342</x:v>
      </x:c>
      <x:c r="D286" s="5" t="n">
        <x:v>8119.144027926014</x:v>
      </x:c>
      <x:c r="E286" s="5" t="n">
        <x:v>8816</x:v>
      </x:c>
      <x:c r="F286" s="5" t="n">
        <x:v>7002</x:v>
      </x:c>
      <x:c r="G286" s="5" t="n">
        <x:f>F286-$D286</x:f>
        <x:v>-1117.1440279260141</x:v>
      </x:c>
      <x:c r="H286" s="6" t="n">
        <x:f>G286/$D286</x:f>
        <x:v>-0.13759381827487815</x:v>
      </x:c>
      <x:c r="I286" s="5" t="n">
        <x:f>ABS(G286)</x:f>
        <x:v>1117.1440279260141</x:v>
      </x:c>
      <x:c r="J286" s="6" t="n">
        <x:f>ABS(H286)</x:f>
        <x:v>0.13759381827487815</x:v>
      </x:c>
      <x:c r="K286" s="5" t="n">
        <x:v>19237.680058524016</x:v>
      </x:c>
      <x:c r="L286" s="5" t="n">
        <x:f>K286-$D286</x:f>
        <x:v>11118.536030598003</x:v>
      </x:c>
      <x:c r="M286" s="6" t="n">
        <x:f>L286/$D286</x:f>
        <x:v>1.369422194304658</x:v>
      </x:c>
      <x:c r="N286" s="5" t="n">
        <x:f>ABS(L286)</x:f>
        <x:v>11118.536030598003</x:v>
      </x:c>
      <x:c r="O286" s="6" t="n">
        <x:f>ABS(M286)</x:f>
        <x:v>1.369422194304658</x:v>
      </x:c>
      <x:c r="P286" s="5" t="n">
        <x:v>8978.101404547648</x:v>
      </x:c>
      <x:c r="Q286" s="5" t="n">
        <x:f>P286-$D286</x:f>
        <x:v>858.9573766216336</x:v>
      </x:c>
      <x:c r="R286" s="6" t="n">
        <x:f>Q286/$D286</x:f>
        <x:v>0.10579408046799349</x:v>
      </x:c>
      <x:c r="S286" s="5" t="n">
        <x:f>ABS(Q286)</x:f>
        <x:v>858.9573766216336</x:v>
      </x:c>
      <x:c r="T286" s="6" t="n">
        <x:f>ABS(R286)</x:f>
        <x:v>0.10579408046799349</x:v>
      </x:c>
    </x:row>
    <x:row r="287">
      <x:c r="A287" s="4"/>
      <x:c r="B287" s="4" t="str">
        <x:v>El Puente</x:v>
      </x:c>
      <x:c r="C287" s="5" t="n">
        <x:v>14205</x:v>
      </x:c>
      <x:c r="D287" s="5" t="n">
        <x:v>16461.012870087085</x:v>
      </x:c>
      <x:c r="E287" s="5" t="n">
        <x:v>17290</x:v>
      </x:c>
      <x:c r="F287" s="5" t="n">
        <x:v>14181</x:v>
      </x:c>
      <x:c r="G287" s="5" t="n">
        <x:f>F287-$D287</x:f>
        <x:v>-2280.0128700870846</x:v>
      </x:c>
      <x:c r="H287" s="6" t="n">
        <x:f>G287/$D287</x:f>
        <x:v>-0.1385098771309704</x:v>
      </x:c>
      <x:c r="I287" s="5" t="n">
        <x:f>ABS(G287)</x:f>
        <x:v>2280.0128700870846</x:v>
      </x:c>
      <x:c r="J287" s="6" t="n">
        <x:f>ABS(H287)</x:f>
        <x:v>0.1385098771309704</x:v>
      </x:c>
      <x:c r="K287" s="5" t="n">
        <x:v>19320.727284570745</x:v>
      </x:c>
      <x:c r="L287" s="5" t="n">
        <x:f>K287-$D287</x:f>
        <x:v>2859.71441448366</x:v>
      </x:c>
      <x:c r="M287" s="6" t="n">
        <x:f>L287/$D287</x:f>
        <x:v>0.17372651592298594</x:v>
      </x:c>
      <x:c r="N287" s="5" t="n">
        <x:f>ABS(L287)</x:f>
        <x:v>2859.71441448366</x:v>
      </x:c>
      <x:c r="O287" s="6" t="n">
        <x:f>ABS(M287)</x:f>
        <x:v>0.17372651592298594</x:v>
      </x:c>
      <x:c r="P287" s="5" t="n">
        <x:v>23860.902499378164</x:v>
      </x:c>
      <x:c r="Q287" s="5" t="n">
        <x:f>P287-$D287</x:f>
        <x:v>7399.8896292910795</x:v>
      </x:c>
      <x:c r="R287" s="6" t="n">
        <x:f>Q287/$D287</x:f>
        <x:v>0.4495403586457394</x:v>
      </x:c>
      <x:c r="S287" s="5" t="n">
        <x:f>ABS(Q287)</x:f>
        <x:v>7399.8896292910795</x:v>
      </x:c>
      <x:c r="T287" s="6" t="n">
        <x:f>ABS(R287)</x:f>
        <x:v>0.4495403586457394</x:v>
      </x:c>
    </x:row>
    <x:row r="288">
      <x:c r="A288" s="4"/>
      <x:c r="B288" s="4" t="str">
        <x:v>El Torno</x:v>
      </x:c>
      <x:c r="C288" s="5" t="n">
        <x:v>49652</x:v>
      </x:c>
      <x:c r="D288" s="5" t="n">
        <x:v>54120.03132194942</x:v>
      </x:c>
      <x:c r="E288" s="5" t="n">
        <x:v>55697</x:v>
      </x:c>
      <x:c r="F288" s="5" t="n">
        <x:v>69682</x:v>
      </x:c>
      <x:c r="G288" s="5" t="n">
        <x:f>F288-$D288</x:f>
        <x:v>15561.96867805058</x:v>
      </x:c>
      <x:c r="H288" s="6" t="n">
        <x:f>G288/$D288</x:f>
        <x:v>0.2875454484768401</x:v>
      </x:c>
      <x:c r="I288" s="5" t="n">
        <x:f>ABS(G288)</x:f>
        <x:v>15561.96867805058</x:v>
      </x:c>
      <x:c r="J288" s="6" t="n">
        <x:f>ABS(H288)</x:f>
        <x:v>0.2875454484768401</x:v>
      </x:c>
      <x:c r="K288" s="5" t="n">
        <x:v>20509.349604239447</x:v>
      </x:c>
      <x:c r="L288" s="5" t="n">
        <x:f>K288-$D288</x:f>
        <x:v>-33610.68171770997</x:v>
      </x:c>
      <x:c r="M288" s="6" t="n">
        <x:f>L288/$D288</x:f>
        <x:v>-0.6210395836204646</x:v>
      </x:c>
      <x:c r="N288" s="5" t="n">
        <x:f>ABS(L288)</x:f>
        <x:v>33610.68171770997</x:v>
      </x:c>
      <x:c r="O288" s="6" t="n">
        <x:f>ABS(M288)</x:f>
        <x:v>0.6210395836204646</x:v>
      </x:c>
      <x:c r="P288" s="5" t="n">
        <x:v>66913.86151586988</x:v>
      </x:c>
      <x:c r="Q288" s="5" t="n">
        <x:f>P288-$D288</x:f>
        <x:v>12793.830193920461</x:v>
      </x:c>
      <x:c r="R288" s="6" t="n">
        <x:f>Q288/$D288</x:f>
        <x:v>0.23639731687907722</x:v>
      </x:c>
      <x:c r="S288" s="5" t="n">
        <x:f>ABS(Q288)</x:f>
        <x:v>12793.830193920461</x:v>
      </x:c>
      <x:c r="T288" s="6" t="n">
        <x:f>ABS(R288)</x:f>
        <x:v>0.23639731687907722</x:v>
      </x:c>
    </x:row>
    <x:row r="289">
      <x:c r="A289" s="4"/>
      <x:c r="B289" s="4" t="str">
        <x:v>Fernández Alonso</x:v>
      </x:c>
      <x:c r="C289" s="5" t="n">
        <x:v>15117</x:v>
      </x:c>
      <x:c r="D289" s="5" t="n">
        <x:v>14735.13317146405</x:v>
      </x:c>
      <x:c r="E289" s="5" t="n">
        <x:v>14610</x:v>
      </x:c>
      <x:c r="F289" s="5" t="n">
        <x:v>14745</x:v>
      </x:c>
      <x:c r="G289" s="5" t="n">
        <x:f>F289-$D289</x:f>
        <x:v>9.866828535950845</x:v>
      </x:c>
      <x:c r="H289" s="6" t="n">
        <x:f>G289/$D289</x:f>
        <x:v>0.0006696124440231645</x:v>
      </x:c>
      <x:c r="I289" s="5" t="n">
        <x:f>ABS(G289)</x:f>
        <x:v>9.866828535950845</x:v>
      </x:c>
      <x:c r="J289" s="6" t="n">
        <x:f>ABS(H289)</x:f>
        <x:v>0.0006696124440231645</x:v>
      </x:c>
      <x:c r="K289" s="5" t="n">
        <x:v>22856.22193309168</x:v>
      </x:c>
      <x:c r="L289" s="5" t="n">
        <x:f>K289-$D289</x:f>
        <x:v>8121.088761627632</x:v>
      </x:c>
      <x:c r="M289" s="6" t="n">
        <x:f>L289/$D289</x:f>
        <x:v>0.5511377920462146</x:v>
      </x:c>
      <x:c r="N289" s="5" t="n">
        <x:f>ABS(L289)</x:f>
        <x:v>8121.088761627632</x:v>
      </x:c>
      <x:c r="O289" s="6" t="n">
        <x:f>ABS(M289)</x:f>
        <x:v>0.5511377920462146</x:v>
      </x:c>
      <x:c r="P289" s="5" t="n">
        <x:v>21082.704030475987</x:v>
      </x:c>
      <x:c r="Q289" s="5" t="n">
        <x:f>P289-$D289</x:f>
        <x:v>6347.5708590119375</x:v>
      </x:c>
      <x:c r="R289" s="6" t="n">
        <x:f>Q289/$D289</x:f>
        <x:v>0.4307779770395694</x:v>
      </x:c>
      <x:c r="S289" s="5" t="n">
        <x:f>ABS(Q289)</x:f>
        <x:v>6347.5708590119375</x:v>
      </x:c>
      <x:c r="T289" s="6" t="n">
        <x:f>ABS(R289)</x:f>
        <x:v>0.4307779770395694</x:v>
      </x:c>
    </x:row>
    <x:row r="290">
      <x:c r="A290" s="4"/>
      <x:c r="B290" s="4" t="str">
        <x:v>General Saavedra</x:v>
      </x:c>
      <x:c r="C290" s="5" t="n">
        <x:v>14209</x:v>
      </x:c>
      <x:c r="D290" s="5" t="n">
        <x:v>15965.50641989818</x:v>
      </x:c>
      <x:c r="E290" s="5" t="n">
        <x:v>16598</x:v>
      </x:c>
      <x:c r="F290" s="5" t="n">
        <x:v>17372</x:v>
      </x:c>
      <x:c r="G290" s="5" t="n">
        <x:f>F290-$D290</x:f>
        <x:v>1406.49358010182</x:v>
      </x:c>
      <x:c r="H290" s="6" t="n">
        <x:f>G290/$D290</x:f>
        <x:v>0.08809576991237024</x:v>
      </x:c>
      <x:c r="I290" s="5" t="n">
        <x:f>ABS(G290)</x:f>
        <x:v>1406.49358010182</x:v>
      </x:c>
      <x:c r="J290" s="6" t="n">
        <x:f>ABS(H290)</x:f>
        <x:v>0.08809576991237024</x:v>
      </x:c>
      <x:c r="K290" s="5" t="n">
        <x:v>20024.740620940385</x:v>
      </x:c>
      <x:c r="L290" s="5" t="n">
        <x:f>K290-$D290</x:f>
        <x:v>4059.2342010422053</x:v>
      </x:c>
      <x:c r="M290" s="6" t="n">
        <x:f>L290/$D290</x:f>
        <x:v>0.2542502626777368</x:v>
      </x:c>
      <x:c r="N290" s="5" t="n">
        <x:f>ABS(L290)</x:f>
        <x:v>4059.2342010422053</x:v>
      </x:c>
      <x:c r="O290" s="6" t="n">
        <x:f>ABS(M290)</x:f>
        <x:v>0.2542502626777368</x:v>
      </x:c>
      <x:c r="P290" s="5" t="n">
        <x:v>20016.060569353387</x:v>
      </x:c>
      <x:c r="Q290" s="5" t="n">
        <x:f>P290-$D290</x:f>
        <x:v>4050.554149455207</x:v>
      </x:c>
      <x:c r="R290" s="6" t="n">
        <x:f>Q290/$D290</x:f>
        <x:v>0.2537065873718173</x:v>
      </x:c>
      <x:c r="S290" s="5" t="n">
        <x:f>ABS(Q290)</x:f>
        <x:v>4050.554149455207</x:v>
      </x:c>
      <x:c r="T290" s="6" t="n">
        <x:f>ABS(R290)</x:f>
        <x:v>0.2537065873718173</x:v>
      </x:c>
    </x:row>
    <x:row r="291">
      <x:c r="A291" s="4"/>
      <x:c r="B291" s="4" t="str">
        <x:v>Gutiérrez (Autonomía Indígena Kereimba Iyaambae)</x:v>
      </x:c>
      <x:c r="C291" s="5" t="n">
        <x:v>12273</x:v>
      </x:c>
      <x:c r="D291" s="5" t="n">
        <x:v>13828.040504766239</x:v>
      </x:c>
      <x:c r="E291" s="5" t="n">
        <x:v>14389</x:v>
      </x:c>
      <x:c r="F291" s="5" t="n">
        <x:v>15759</x:v>
      </x:c>
      <x:c r="G291" s="5" t="n">
        <x:f>F291-$D291</x:f>
        <x:v>1930.9594952337611</x:v>
      </x:c>
      <x:c r="H291" s="6" t="n">
        <x:f>G291/$D291</x:f>
        <x:v>0.13964086195496747</x:v>
      </x:c>
      <x:c r="I291" s="5" t="n">
        <x:f>ABS(G291)</x:f>
        <x:v>1930.9594952337611</x:v>
      </x:c>
      <x:c r="J291" s="6" t="n">
        <x:f>ABS(H291)</x:f>
        <x:v>0.13964086195496747</x:v>
      </x:c>
      <x:c r="K291" s="5" t="n">
        <x:v>7390.608063122125</x:v>
      </x:c>
      <x:c r="L291" s="5" t="n">
        <x:f>K291-$D291</x:f>
        <x:v>-6437.432441644114</x:v>
      </x:c>
      <x:c r="M291" s="6" t="n">
        <x:f>L291/$D291</x:f>
        <x:v>-0.46553468218619004</x:v>
      </x:c>
      <x:c r="N291" s="5" t="n">
        <x:f>ABS(L291)</x:f>
        <x:v>6437.432441644114</x:v>
      </x:c>
      <x:c r="O291" s="6" t="n">
        <x:f>ABS(M291)</x:f>
        <x:v>0.46553468218619004</x:v>
      </x:c>
      <x:c r="P291" s="5" t="n">
        <x:v>10225.231708571802</x:v>
      </x:c>
      <x:c r="Q291" s="5" t="n">
        <x:f>P291-$D291</x:f>
        <x:v>-3602.8087961944366</x:v>
      </x:c>
      <x:c r="R291" s="6" t="n">
        <x:f>Q291/$D291</x:f>
        <x:v>-0.2605436970590752</x:v>
      </x:c>
      <x:c r="S291" s="5" t="n">
        <x:f>ABS(Q291)</x:f>
        <x:v>3602.8087961944366</x:v>
      </x:c>
      <x:c r="T291" s="6" t="n">
        <x:f>ABS(R291)</x:f>
        <x:v>0.2605436970590752</x:v>
      </x:c>
    </x:row>
    <x:row r="292">
      <x:c r="A292" s="4"/>
      <x:c r="B292" s="4" t="str">
        <x:v>La Guardia</x:v>
      </x:c>
      <x:c r="C292" s="5" t="n">
        <x:v>89284</x:v>
      </x:c>
      <x:c r="D292" s="5" t="n">
        <x:v>130252.51377091423</x:v>
      </x:c>
      <x:c r="E292" s="5" t="n">
        <x:v>147726</x:v>
      </x:c>
      <x:c r="F292" s="5" t="n">
        <x:v>111525</x:v>
      </x:c>
      <x:c r="G292" s="5" t="n">
        <x:f>F292-$D292</x:f>
        <x:v>-18727.51377091423</x:v>
      </x:c>
      <x:c r="H292" s="6" t="n">
        <x:f>G292/$D292</x:f>
        <x:v>-0.14377852088023302</x:v>
      </x:c>
      <x:c r="I292" s="5" t="n">
        <x:f>ABS(G292)</x:f>
        <x:v>18727.51377091423</x:v>
      </x:c>
      <x:c r="J292" s="6" t="n">
        <x:f>ABS(H292)</x:f>
        <x:v>0.14377852088023302</x:v>
      </x:c>
      <x:c r="K292" s="5" t="n">
        <x:v>79268.39244594339</x:v>
      </x:c>
      <x:c r="L292" s="5" t="n">
        <x:f>K292-$D292</x:f>
        <x:v>-50984.12132497084</x:v>
      </x:c>
      <x:c r="M292" s="6" t="n">
        <x:f>L292/$D292</x:f>
        <x:v>-0.39142523893735204</x:v>
      </x:c>
      <x:c r="N292" s="5" t="n">
        <x:f>ABS(L292)</x:f>
        <x:v>50984.12132497084</x:v>
      </x:c>
      <x:c r="O292" s="6" t="n">
        <x:f>ABS(M292)</x:f>
        <x:v>0.39142523893735204</x:v>
      </x:c>
      <x:c r="P292" s="5" t="n">
        <x:v>117779.29750616627</x:v>
      </x:c>
      <x:c r="Q292" s="5" t="n">
        <x:f>P292-$D292</x:f>
        <x:v>-12473.216264747956</x:v>
      </x:c>
      <x:c r="R292" s="6" t="n">
        <x:f>Q292/$D292</x:f>
        <x:v>-0.09576180838003345</x:v>
      </x:c>
      <x:c r="S292" s="5" t="n">
        <x:f>ABS(Q292)</x:f>
        <x:v>12473.216264747956</x:v>
      </x:c>
      <x:c r="T292" s="6" t="n">
        <x:f>ABS(R292)</x:f>
        <x:v>0.09576180838003345</x:v>
      </x:c>
    </x:row>
    <x:row r="293">
      <x:c r="A293" s="4"/>
      <x:c r="B293" s="4" t="str">
        <x:v>Lagunillas</x:v>
      </x:c>
      <x:c r="C293" s="5" t="n">
        <x:v>5366</x:v>
      </x:c>
      <x:c r="D293" s="5" t="n">
        <x:v>5795.372367608061</x:v>
      </x:c>
      <x:c r="E293" s="5" t="n">
        <x:v>5946</x:v>
      </x:c>
      <x:c r="F293" s="5" t="n">
        <x:v>6478</x:v>
      </x:c>
      <x:c r="G293" s="5" t="n">
        <x:f>F293-$D293</x:f>
        <x:v>682.6276323919392</x:v>
      </x:c>
      <x:c r="H293" s="6" t="n">
        <x:f>G293/$D293</x:f>
        <x:v>0.11778839893141878</x:v>
      </x:c>
      <x:c r="I293" s="5" t="n">
        <x:f>ABS(G293)</x:f>
        <x:v>682.6276323919392</x:v>
      </x:c>
      <x:c r="J293" s="6" t="n">
        <x:f>ABS(H293)</x:f>
        <x:v>0.11778839893141878</x:v>
      </x:c>
      <x:c r="K293" s="5" t="n">
        <x:v>2610.044691968149</x:v>
      </x:c>
      <x:c r="L293" s="5" t="n">
        <x:f>K293-$D293</x:f>
        <x:v>-3185.327675639912</x:v>
      </x:c>
      <x:c r="M293" s="6" t="n">
        <x:f>L293/$D293</x:f>
        <x:v>-0.5496329611956583</x:v>
      </x:c>
      <x:c r="N293" s="5" t="n">
        <x:f>ABS(L293)</x:f>
        <x:v>3185.327675639912</x:v>
      </x:c>
      <x:c r="O293" s="6" t="n">
        <x:f>ABS(M293)</x:f>
        <x:v>0.5496329611956583</x:v>
      </x:c>
      <x:c r="P293" s="5" t="n">
        <x:v>4492.88626694151</x:v>
      </x:c>
      <x:c r="Q293" s="5" t="n">
        <x:f>P293-$D293</x:f>
        <x:v>-1302.4861006665506</x:v>
      </x:c>
      <x:c r="R293" s="6" t="n">
        <x:f>Q293/$D293</x:f>
        <x:v>-0.2247458865536416</x:v>
      </x:c>
      <x:c r="S293" s="5" t="n">
        <x:f>ABS(Q293)</x:f>
        <x:v>1302.4861006665506</x:v>
      </x:c>
      <x:c r="T293" s="6" t="n">
        <x:f>ABS(R293)</x:f>
        <x:v>0.2247458865536416</x:v>
      </x:c>
    </x:row>
    <x:row r="294">
      <x:c r="A294" s="4"/>
      <x:c r="B294" s="4" t="str">
        <x:v>Mairana</x:v>
      </x:c>
      <x:c r="C294" s="5" t="n">
        <x:v>10177</x:v>
      </x:c>
      <x:c r="D294" s="5" t="n">
        <x:v>12040.767086758977</x:v>
      </x:c>
      <x:c r="E294" s="5" t="n">
        <x:v>12735</x:v>
      </x:c>
      <x:c r="F294" s="5" t="n">
        <x:v>12823</x:v>
      </x:c>
      <x:c r="G294" s="5" t="n">
        <x:f>F294-$D294</x:f>
        <x:v>782.2329132410232</x:v>
      </x:c>
      <x:c r="H294" s="6" t="n">
        <x:f>G294/$D294</x:f>
        <x:v>0.06496537202361727</x:v>
      </x:c>
      <x:c r="I294" s="5" t="n">
        <x:f>ABS(G294)</x:f>
        <x:v>782.2329132410232</x:v>
      </x:c>
      <x:c r="J294" s="6" t="n">
        <x:f>ABS(H294)</x:f>
        <x:v>0.06496537202361727</x:v>
      </x:c>
      <x:c r="K294" s="5" t="n">
        <x:v>11542.422181428525</x:v>
      </x:c>
      <x:c r="L294" s="5" t="n">
        <x:f>K294-$D294</x:f>
        <x:v>-498.3449053304521</x:v>
      </x:c>
      <x:c r="M294" s="6" t="n">
        <x:f>L294/$D294</x:f>
        <x:v>-0.04138813596672536</x:v>
      </x:c>
      <x:c r="N294" s="5" t="n">
        <x:f>ABS(L294)</x:f>
        <x:v>498.3449053304521</x:v>
      </x:c>
      <x:c r="O294" s="6" t="n">
        <x:f>ABS(M294)</x:f>
        <x:v>0.04138813596672536</x:v>
      </x:c>
      <x:c r="P294" s="5" t="n">
        <x:v>14151.623421437484</x:v>
      </x:c>
      <x:c r="Q294" s="5" t="n">
        <x:f>P294-$D294</x:f>
        <x:v>2110.8563346785068</x:v>
      </x:c>
      <x:c r="R294" s="6" t="n">
        <x:f>Q294/$D294</x:f>
        <x:v>0.17530912436631874</x:v>
      </x:c>
      <x:c r="S294" s="5" t="n">
        <x:f>ABS(Q294)</x:f>
        <x:v>2110.8563346785068</x:v>
      </x:c>
      <x:c r="T294" s="6" t="n">
        <x:f>ABS(R294)</x:f>
        <x:v>0.17530912436631874</x:v>
      </x:c>
    </x:row>
    <x:row r="295">
      <x:c r="A295" s="4"/>
      <x:c r="B295" s="4" t="str">
        <x:v>Mineros</x:v>
      </x:c>
      <x:c r="C295" s="5" t="n">
        <x:v>23251</x:v>
      </x:c>
      <x:c r="D295" s="5" t="n">
        <x:v>23145.169634880713</x:v>
      </x:c>
      <x:c r="E295" s="5" t="n">
        <x:v>23110</x:v>
      </x:c>
      <x:c r="F295" s="5" t="n">
        <x:v>28103</x:v>
      </x:c>
      <x:c r="G295" s="5" t="n">
        <x:f>F295-$D295</x:f>
        <x:v>4957.830365119287</x:v>
      </x:c>
      <x:c r="H295" s="6" t="n">
        <x:f>G295/$D295</x:f>
        <x:v>0.21420583401763602</x:v>
      </x:c>
      <x:c r="I295" s="5" t="n">
        <x:f>ABS(G295)</x:f>
        <x:v>4957.830365119287</x:v>
      </x:c>
      <x:c r="J295" s="6" t="n">
        <x:f>ABS(H295)</x:f>
        <x:v>0.21420583401763602</x:v>
      </x:c>
      <x:c r="K295" s="5" t="n">
        <x:v>33042.095519822644</x:v>
      </x:c>
      <x:c r="L295" s="5" t="n">
        <x:f>K295-$D295</x:f>
        <x:v>9896.925884941931</x:v>
      </x:c>
      <x:c r="M295" s="6" t="n">
        <x:f>L295/$D295</x:f>
        <x:v>0.42760221856515845</x:v>
      </x:c>
      <x:c r="N295" s="5" t="n">
        <x:f>ABS(L295)</x:f>
        <x:v>9896.925884941931</x:v>
      </x:c>
      <x:c r="O295" s="6" t="n">
        <x:f>ABS(M295)</x:f>
        <x:v>0.42760221856515845</x:v>
      </x:c>
      <x:c r="P295" s="5" t="n">
        <x:v>32858.21038148781</x:v>
      </x:c>
      <x:c r="Q295" s="5" t="n">
        <x:f>P295-$D295</x:f>
        <x:v>9713.040746607094</x:v>
      </x:c>
      <x:c r="R295" s="6" t="n">
        <x:f>Q295/$D295</x:f>
        <x:v>0.41965735830983697</x:v>
      </x:c>
      <x:c r="S295" s="5" t="n">
        <x:f>ABS(Q295)</x:f>
        <x:v>9713.040746607094</x:v>
      </x:c>
      <x:c r="T295" s="6" t="n">
        <x:f>ABS(R295)</x:f>
        <x:v>0.41965735830983697</x:v>
      </x:c>
    </x:row>
    <x:row r="296">
      <x:c r="A296" s="4"/>
      <x:c r="B296" s="4" t="str">
        <x:v>Montero</x:v>
      </x:c>
      <x:c r="C296" s="5" t="n">
        <x:v>109518</x:v>
      </x:c>
      <x:c r="D296" s="5" t="n">
        <x:v>122301.46409789634</x:v>
      </x:c>
      <x:c r="E296" s="5" t="n">
        <x:v>126886</x:v>
      </x:c>
      <x:c r="F296" s="5" t="n">
        <x:v>144620</x:v>
      </x:c>
      <x:c r="G296" s="5" t="n">
        <x:f>F296-$D296</x:f>
        <x:v>22318.535902103657</x:v>
      </x:c>
      <x:c r="H296" s="6" t="n">
        <x:f>G296/$D296</x:f>
        <x:v>0.1824878881600204</x:v>
      </x:c>
      <x:c r="I296" s="5" t="n">
        <x:f>ABS(G296)</x:f>
        <x:v>22318.535902103657</x:v>
      </x:c>
      <x:c r="J296" s="6" t="n">
        <x:f>ABS(H296)</x:f>
        <x:v>0.1824878881600204</x:v>
      </x:c>
      <x:c r="K296" s="5" t="n">
        <x:v>151263.48491344185</x:v>
      </x:c>
      <x:c r="L296" s="5" t="n">
        <x:f>K296-$D296</x:f>
        <x:v>28962.020815545504</x:v>
      </x:c>
      <x:c r="M296" s="6" t="n">
        <x:f>L296/$D296</x:f>
        <x:v>0.23680845547656584</x:v>
      </x:c>
      <x:c r="N296" s="5" t="n">
        <x:f>ABS(L296)</x:f>
        <x:v>28962.020815545504</x:v>
      </x:c>
      <x:c r="O296" s="6" t="n">
        <x:f>ABS(M296)</x:f>
        <x:v>0.23680845547656584</x:v>
      </x:c>
      <x:c r="P296" s="5" t="n">
        <x:v>151291.5531360279</x:v>
      </x:c>
      <x:c r="Q296" s="5" t="n">
        <x:f>P296-$D296</x:f>
        <x:v>28990.08903813157</x:v>
      </x:c>
      <x:c r="R296" s="6" t="n">
        <x:f>Q296/$D296</x:f>
        <x:v>0.23703795577562686</x:v>
      </x:c>
      <x:c r="S296" s="5" t="n">
        <x:f>ABS(Q296)</x:f>
        <x:v>28990.08903813157</x:v>
      </x:c>
      <x:c r="T296" s="6" t="n">
        <x:f>ABS(R296)</x:f>
        <x:v>0.23703795577562686</x:v>
      </x:c>
    </x:row>
    <x:row r="297">
      <x:c r="A297" s="4"/>
      <x:c r="B297" s="4" t="str">
        <x:v>Moromoro</x:v>
      </x:c>
      <x:c r="C297" s="5" t="n">
        <x:v>2767</x:v>
      </x:c>
      <x:c r="D297" s="5" t="n">
        <x:v>2786.477185334917</x:v>
      </x:c>
      <x:c r="E297" s="5" t="n">
        <x:v>2793</x:v>
      </x:c>
      <x:c r="F297" s="5" t="n">
        <x:v>2599</x:v>
      </x:c>
      <x:c r="G297" s="5" t="n">
        <x:f>F297-$D297</x:f>
        <x:v>-187.47718533491707</x:v>
      </x:c>
      <x:c r="H297" s="6" t="n">
        <x:f>G297/$D297</x:f>
        <x:v>-0.06728107673789674</x:v>
      </x:c>
      <x:c r="I297" s="5" t="n">
        <x:f>ABS(G297)</x:f>
        <x:v>187.47718533491707</x:v>
      </x:c>
      <x:c r="J297" s="6" t="n">
        <x:f>ABS(H297)</x:f>
        <x:v>0.06728107673789674</x:v>
      </x:c>
      <x:c r="K297" s="5" t="n">
        <x:v>3734.08871383177</x:v>
      </x:c>
      <x:c r="L297" s="5" t="n">
        <x:f>K297-$D297</x:f>
        <x:v>947.6115284968528</x:v>
      </x:c>
      <x:c r="M297" s="6" t="n">
        <x:f>L297/$D297</x:f>
        <x:v>0.34007510755303594</x:v>
      </x:c>
      <x:c r="N297" s="5" t="n">
        <x:f>ABS(L297)</x:f>
        <x:v>947.6115284968528</x:v>
      </x:c>
      <x:c r="O297" s="6" t="n">
        <x:f>ABS(M297)</x:f>
        <x:v>0.34007510755303594</x:v>
      </x:c>
      <x:c r="P297" s="5" t="n">
        <x:v>2898.091907368769</x:v>
      </x:c>
      <x:c r="Q297" s="5" t="n">
        <x:f>P297-$D297</x:f>
        <x:v>111.6147220338521</x:v>
      </x:c>
      <x:c r="R297" s="6" t="n">
        <x:f>Q297/$D297</x:f>
        <x:v>0.04005585354198287</x:v>
      </x:c>
      <x:c r="S297" s="5" t="n">
        <x:f>ABS(Q297)</x:f>
        <x:v>111.6147220338521</x:v>
      </x:c>
      <x:c r="T297" s="6" t="n">
        <x:f>ABS(R297)</x:f>
        <x:v>0.04005585354198287</x:v>
      </x:c>
    </x:row>
    <x:row r="298">
      <x:c r="A298" s="4"/>
      <x:c r="B298" s="4" t="str">
        <x:v>Okinawa Uno</x:v>
      </x:c>
      <x:c r="C298" s="5" t="n">
        <x:v>12482</x:v>
      </x:c>
      <x:c r="D298" s="5" t="n">
        <x:v>11092.81293825411</x:v>
      </x:c>
      <x:c r="E298" s="5" t="n">
        <x:v>10665</x:v>
      </x:c>
      <x:c r="F298" s="5" t="n">
        <x:v>13896</x:v>
      </x:c>
      <x:c r="G298" s="5" t="n">
        <x:f>F298-$D298</x:f>
        <x:v>2803.18706174589</x:v>
      </x:c>
      <x:c r="H298" s="6" t="n">
        <x:f>G298/$D298</x:f>
        <x:v>0.2527029958360662</x:v>
      </x:c>
      <x:c r="I298" s="5" t="n">
        <x:f>ABS(G298)</x:f>
        <x:v>2803.18706174589</x:v>
      </x:c>
      <x:c r="J298" s="6" t="n">
        <x:f>ABS(H298)</x:f>
        <x:v>0.2527029958360662</x:v>
      </x:c>
      <x:c r="K298" s="5" t="n">
        <x:v>57561.820509982965</x:v>
      </x:c>
      <x:c r="L298" s="5" t="n">
        <x:f>K298-$D298</x:f>
        <x:v>46469.00757172886</x:v>
      </x:c>
      <x:c r="M298" s="6" t="n">
        <x:f>L298/$D298</x:f>
        <x:v>4.189109455860217</x:v>
      </x:c>
      <x:c r="N298" s="5" t="n">
        <x:f>ABS(L298)</x:f>
        <x:v>46469.00757172886</x:v>
      </x:c>
      <x:c r="O298" s="6" t="n">
        <x:f>ABS(M298)</x:f>
        <x:v>4.189109455860217</x:v>
      </x:c>
      <x:c r="P298" s="5" t="n">
        <x:v>17438.27724038497</x:v>
      </x:c>
      <x:c r="Q298" s="5" t="n">
        <x:f>P298-$D298</x:f>
        <x:v>6345.46430213086</x:v>
      </x:c>
      <x:c r="R298" s="6" t="n">
        <x:f>Q298/$D298</x:f>
        <x:v>0.5720338328475922</x:v>
      </x:c>
      <x:c r="S298" s="5" t="n">
        <x:f>ABS(Q298)</x:f>
        <x:v>6345.46430213086</x:v>
      </x:c>
      <x:c r="T298" s="6" t="n">
        <x:f>ABS(R298)</x:f>
        <x:v>0.5720338328475922</x:v>
      </x:c>
    </x:row>
    <x:row r="299">
      <x:c r="A299" s="4"/>
      <x:c r="B299" s="4" t="str">
        <x:v>Pailón</x:v>
      </x:c>
      <x:c r="C299" s="5" t="n">
        <x:v>37866</x:v>
      </x:c>
      <x:c r="D299" s="5" t="n">
        <x:v>49754.21176993888</x:v>
      </x:c>
      <x:c r="E299" s="5" t="n">
        <x:v>54495</x:v>
      </x:c>
      <x:c r="F299" s="5" t="n">
        <x:v>43867</x:v>
      </x:c>
      <x:c r="G299" s="5" t="n">
        <x:f>F299-$D299</x:f>
        <x:v>-5887.211769938876</x:v>
      </x:c>
      <x:c r="H299" s="6" t="n">
        <x:f>G299/$D299</x:f>
        <x:v>-0.11832589765789207</x:v>
      </x:c>
      <x:c r="I299" s="5" t="n">
        <x:f>ABS(G299)</x:f>
        <x:v>5887.211769938876</x:v>
      </x:c>
      <x:c r="J299" s="6" t="n">
        <x:f>ABS(H299)</x:f>
        <x:v>0.11832589765789207</x:v>
      </x:c>
      <x:c r="K299" s="5" t="n">
        <x:v>24274.07646031054</x:v>
      </x:c>
      <x:c r="L299" s="5" t="n">
        <x:f>K299-$D299</x:f>
        <x:v>-25480.135309628335</x:v>
      </x:c>
      <x:c r="M299" s="6" t="n">
        <x:f>L299/$D299</x:f>
        <x:v>-0.5121201683879</x:v>
      </x:c>
      <x:c r="N299" s="5" t="n">
        <x:f>ABS(L299)</x:f>
        <x:v>25480.135309628335</x:v>
      </x:c>
      <x:c r="O299" s="6" t="n">
        <x:f>ABS(M299)</x:f>
        <x:v>0.5121201683879</x:v>
      </x:c>
      <x:c r="P299" s="5" t="n">
        <x:v>53483.4719151717</x:v>
      </x:c>
      <x:c r="Q299" s="5" t="n">
        <x:f>P299-$D299</x:f>
        <x:v>3729.2601452328236</x:v>
      </x:c>
      <x:c r="R299" s="6" t="n">
        <x:f>Q299/$D299</x:f>
        <x:v>0.0749536574406353</x:v>
      </x:c>
      <x:c r="S299" s="5" t="n">
        <x:f>ABS(Q299)</x:f>
        <x:v>3729.2601452328236</x:v>
      </x:c>
      <x:c r="T299" s="6" t="n">
        <x:f>ABS(R299)</x:f>
        <x:v>0.0749536574406353</x:v>
      </x:c>
    </x:row>
    <x:row r="300">
      <x:c r="A300" s="4"/>
      <x:c r="B300" s="4" t="str">
        <x:v>Pampagrande</x:v>
      </x:c>
      <x:c r="C300" s="5" t="n">
        <x:v>9198</x:v>
      </x:c>
      <x:c r="D300" s="5" t="n">
        <x:v>9566.066715784145</x:v>
      </x:c>
      <x:c r="E300" s="5" t="n">
        <x:v>9692</x:v>
      </x:c>
      <x:c r="F300" s="5" t="n">
        <x:v>9811</x:v>
      </x:c>
      <x:c r="G300" s="5" t="n">
        <x:f>F300-$D300</x:f>
        <x:v>244.93328421585466</x:v>
      </x:c>
      <x:c r="H300" s="6" t="n">
        <x:f>G300/$D300</x:f>
        <x:v>0.025604388040876953</x:v>
      </x:c>
      <x:c r="I300" s="5" t="n">
        <x:f>ABS(G300)</x:f>
        <x:v>244.93328421585466</x:v>
      </x:c>
      <x:c r="J300" s="6" t="n">
        <x:f>ABS(H300)</x:f>
        <x:v>0.025604388040876953</x:v>
      </x:c>
      <x:c r="K300" s="5" t="n">
        <x:v>11443.299705411257</x:v>
      </x:c>
      <x:c r="L300" s="5" t="n">
        <x:f>K300-$D300</x:f>
        <x:v>1877.2329896271112</x:v>
      </x:c>
      <x:c r="M300" s="6" t="n">
        <x:f>L300/$D300</x:f>
        <x:v>0.1962387515581143</x:v>
      </x:c>
      <x:c r="N300" s="5" t="n">
        <x:f>ABS(L300)</x:f>
        <x:v>1877.2329896271112</x:v>
      </x:c>
      <x:c r="O300" s="6" t="n">
        <x:f>ABS(M300)</x:f>
        <x:v>0.1962387515581143</x:v>
      </x:c>
      <x:c r="P300" s="5" t="n">
        <x:v>12747.646198093104</x:v>
      </x:c>
      <x:c r="Q300" s="5" t="n">
        <x:f>P300-$D300</x:f>
        <x:v>3181.579482308958</x:v>
      </x:c>
      <x:c r="R300" s="6" t="n">
        <x:f>Q300/$D300</x:f>
        <x:v>0.33259014146946175</x:v>
      </x:c>
      <x:c r="S300" s="5" t="n">
        <x:f>ABS(Q300)</x:f>
        <x:v>3181.579482308958</x:v>
      </x:c>
      <x:c r="T300" s="6" t="n">
        <x:f>ABS(R300)</x:f>
        <x:v>0.33259014146946175</x:v>
      </x:c>
    </x:row>
    <x:row r="301">
      <x:c r="A301" s="4"/>
      <x:c r="B301" s="4" t="str">
        <x:v>Porongo</x:v>
      </x:c>
      <x:c r="C301" s="5" t="n">
        <x:v>15317</x:v>
      </x:c>
      <x:c r="D301" s="5" t="n">
        <x:v>20862.618623734663</x:v>
      </x:c>
      <x:c r="E301" s="5" t="n">
        <x:v>23126</x:v>
      </x:c>
      <x:c r="F301" s="5" t="n">
        <x:v>14401</x:v>
      </x:c>
      <x:c r="G301" s="5" t="n">
        <x:f>F301-$D301</x:f>
        <x:v>-6461.618623734663</x:v>
      </x:c>
      <x:c r="H301" s="6" t="n">
        <x:f>G301/$D301</x:f>
        <x:v>-0.3097223191523766</x:v>
      </x:c>
      <x:c r="I301" s="5" t="n">
        <x:f>ABS(G301)</x:f>
        <x:v>6461.618623734663</x:v>
      </x:c>
      <x:c r="J301" s="6" t="n">
        <x:f>ABS(H301)</x:f>
        <x:v>0.3097223191523766</x:v>
      </x:c>
      <x:c r="K301" s="5" t="n">
        <x:v>16226.292101753716</x:v>
      </x:c>
      <x:c r="L301" s="5" t="n">
        <x:f>K301-$D301</x:f>
        <x:v>-4636.326521980947</x:v>
      </x:c>
      <x:c r="M301" s="6" t="n">
        <x:f>L301/$D301</x:f>
        <x:v>-0.2222312838862118</x:v>
      </x:c>
      <x:c r="N301" s="5" t="n">
        <x:f>ABS(L301)</x:f>
        <x:v>4636.326521980947</x:v>
      </x:c>
      <x:c r="O301" s="6" t="n">
        <x:f>ABS(M301)</x:f>
        <x:v>0.2222312838862118</x:v>
      </x:c>
      <x:c r="P301" s="5" t="n">
        <x:v>21351.3548267582</x:v>
      </x:c>
      <x:c r="Q301" s="5" t="n">
        <x:f>P301-$D301</x:f>
        <x:v>488.7362030235381</x:v>
      </x:c>
      <x:c r="R301" s="6" t="n">
        <x:f>Q301/$D301</x:f>
        <x:v>0.023426407386248255</x:v>
      </x:c>
      <x:c r="S301" s="5" t="n">
        <x:f>ABS(Q301)</x:f>
        <x:v>488.7362030235381</x:v>
      </x:c>
      <x:c r="T301" s="6" t="n">
        <x:f>ABS(R301)</x:f>
        <x:v>0.023426407386248255</x:v>
      </x:c>
    </x:row>
    <x:row r="302">
      <x:c r="A302" s="4"/>
      <x:c r="B302" s="4" t="str">
        <x:v>Portachuelo</x:v>
      </x:c>
      <x:c r="C302" s="5" t="n">
        <x:v>17885</x:v>
      </x:c>
      <x:c r="D302" s="5" t="n">
        <x:v>19988.302420104028</x:v>
      </x:c>
      <x:c r="E302" s="5" t="n">
        <x:v>20743</x:v>
      </x:c>
      <x:c r="F302" s="5" t="n">
        <x:v>35521</x:v>
      </x:c>
      <x:c r="G302" s="5" t="n">
        <x:f>F302-$D302</x:f>
        <x:v>15532.697579895972</x:v>
      </x:c>
      <x:c r="H302" s="6" t="n">
        <x:f>G302/$D302</x:f>
        <x:v>0.7770893822515585</x:v>
      </x:c>
      <x:c r="I302" s="5" t="n">
        <x:f>ABS(G302)</x:f>
        <x:v>15532.697579895972</x:v>
      </x:c>
      <x:c r="J302" s="6" t="n">
        <x:f>ABS(H302)</x:f>
        <x:v>0.7770893822515585</x:v>
      </x:c>
      <x:c r="K302" s="5" t="n">
        <x:v>25707.571530921632</x:v>
      </x:c>
      <x:c r="L302" s="5" t="n">
        <x:f>K302-$D302</x:f>
        <x:v>5719.269110817604</x:v>
      </x:c>
      <x:c r="M302" s="6" t="n">
        <x:f>L302/$D302</x:f>
        <x:v>0.2861308074399166</x:v>
      </x:c>
      <x:c r="N302" s="5" t="n">
        <x:f>ABS(L302)</x:f>
        <x:v>5719.269110817604</x:v>
      </x:c>
      <x:c r="O302" s="6" t="n">
        <x:f>ABS(M302)</x:f>
        <x:v>0.2861308074399166</x:v>
      </x:c>
      <x:c r="P302" s="5" t="n">
        <x:v>24818.08907906477</x:v>
      </x:c>
      <x:c r="Q302" s="5" t="n">
        <x:f>P302-$D302</x:f>
        <x:v>4829.786658960744</x:v>
      </x:c>
      <x:c r="R302" s="6" t="n">
        <x:f>Q302/$D302</x:f>
        <x:v>0.24163065764419264</x:v>
      </x:c>
      <x:c r="S302" s="5" t="n">
        <x:f>ABS(Q302)</x:f>
        <x:v>4829.786658960744</x:v>
      </x:c>
      <x:c r="T302" s="6" t="n">
        <x:f>ABS(R302)</x:f>
        <x:v>0.24163065764419264</x:v>
      </x:c>
    </x:row>
    <x:row r="303">
      <x:c r="A303" s="4"/>
      <x:c r="B303" s="4" t="str">
        <x:v>Postrervalle</x:v>
      </x:c>
      <x:c r="C303" s="5" t="n">
        <x:v>2390</x:v>
      </x:c>
      <x:c r="D303" s="5" t="n">
        <x:v>1937.036412663083</x:v>
      </x:c>
      <x:c r="E303" s="5" t="n">
        <x:v>1806</x:v>
      </x:c>
      <x:c r="F303" s="5" t="n">
        <x:v>2086</x:v>
      </x:c>
      <x:c r="G303" s="5" t="n">
        <x:f>F303-$D303</x:f>
        <x:v>148.96358733691704</x:v>
      </x:c>
      <x:c r="H303" s="6" t="n">
        <x:f>G303/$D303</x:f>
        <x:v>0.07690283278264161</x:v>
      </x:c>
      <x:c r="I303" s="5" t="n">
        <x:f>ABS(G303)</x:f>
        <x:v>148.96358733691704</x:v>
      </x:c>
      <x:c r="J303" s="6" t="n">
        <x:f>ABS(H303)</x:f>
        <x:v>0.07690283278264161</x:v>
      </x:c>
      <x:c r="K303" s="5" t="n">
        <x:v>2863.7243884556733</x:v>
      </x:c>
      <x:c r="L303" s="5" t="n">
        <x:f>K303-$D303</x:f>
        <x:v>926.6879757925904</x:v>
      </x:c>
      <x:c r="M303" s="6" t="n">
        <x:f>L303/$D303</x:f>
        <x:v>0.4784050365468133</x:v>
      </x:c>
      <x:c r="N303" s="5" t="n">
        <x:f>ABS(L303)</x:f>
        <x:v>926.6879757925904</x:v>
      </x:c>
      <x:c r="O303" s="6" t="n">
        <x:f>ABS(M303)</x:f>
        <x:v>0.4784050365468133</x:v>
      </x:c>
      <x:c r="P303" s="5" t="n">
        <x:v>3095.342163964495</x:v>
      </x:c>
      <x:c r="Q303" s="5" t="n">
        <x:f>P303-$D303</x:f>
        <x:v>1158.3057513014119</x:v>
      </x:c>
      <x:c r="R303" s="6" t="n">
        <x:f>Q303/$D303</x:f>
        <x:v>0.5979783052756071</x:v>
      </x:c>
      <x:c r="S303" s="5" t="n">
        <x:f>ABS(Q303)</x:f>
        <x:v>1158.3057513014119</x:v>
      </x:c>
      <x:c r="T303" s="6" t="n">
        <x:f>ABS(R303)</x:f>
        <x:v>0.5979783052756071</x:v>
      </x:c>
    </x:row>
    <x:row r="304">
      <x:c r="A304" s="4"/>
      <x:c r="B304" s="4" t="str">
        <x:v>Pucará</x:v>
      </x:c>
      <x:c r="C304" s="5" t="n">
        <x:v>2076</x:v>
      </x:c>
      <x:c r="D304" s="5" t="n">
        <x:v>2030.0798715582903</x:v>
      </x:c>
      <x:c r="E304" s="5" t="n">
        <x:v>2015</x:v>
      </x:c>
      <x:c r="F304" s="5" t="n">
        <x:v>1753</x:v>
      </x:c>
      <x:c r="G304" s="5" t="n">
        <x:f>F304-$D304</x:f>
        <x:v>-277.0798715582903</x:v>
      </x:c>
      <x:c r="H304" s="6" t="n">
        <x:f>G304/$D304</x:f>
        <x:v>-0.1364871773964261</x:v>
      </x:c>
      <x:c r="I304" s="5" t="n">
        <x:f>ABS(G304)</x:f>
        <x:v>277.0798715582903</x:v>
      </x:c>
      <x:c r="J304" s="6" t="n">
        <x:f>ABS(H304)</x:f>
        <x:v>0.1364871773964261</x:v>
      </x:c>
      <x:c r="K304" s="5" t="n">
        <x:v>2339.7598396547955</x:v>
      </x:c>
      <x:c r="L304" s="5" t="n">
        <x:f>K304-$D304</x:f>
        <x:v>309.67996809650526</x:v>
      </x:c>
      <x:c r="M304" s="6" t="n">
        <x:f>L304/$D304</x:f>
        <x:v>0.15254570642030688</x:v>
      </x:c>
      <x:c r="N304" s="5" t="n">
        <x:f>ABS(L304)</x:f>
        <x:v>309.67996809650526</x:v>
      </x:c>
      <x:c r="O304" s="6" t="n">
        <x:f>ABS(M304)</x:f>
        <x:v>0.15254570642030688</x:v>
      </x:c>
      <x:c r="P304" s="5" t="n">
        <x:v>1737.248345889035</x:v>
      </x:c>
      <x:c r="Q304" s="5" t="n">
        <x:f>P304-$D304</x:f>
        <x:v>-292.83152566925537</x:v>
      </x:c>
      <x:c r="R304" s="6" t="n">
        <x:f>Q304/$D304</x:f>
        <x:v>-0.14424630763147153</x:v>
      </x:c>
      <x:c r="S304" s="5" t="n">
        <x:f>ABS(Q304)</x:f>
        <x:v>292.83152566925537</x:v>
      </x:c>
      <x:c r="T304" s="6" t="n">
        <x:f>ABS(R304)</x:f>
        <x:v>0.14424630763147153</x:v>
      </x:c>
    </x:row>
    <x:row r="305">
      <x:c r="A305" s="4"/>
      <x:c r="B305" s="4" t="str">
        <x:v>Puerto Quijarro</x:v>
      </x:c>
      <x:c r="C305" s="5" t="n">
        <x:v>16659</x:v>
      </x:c>
      <x:c r="D305" s="5" t="n">
        <x:v>17635.825178079154</x:v>
      </x:c>
      <x:c r="E305" s="5" t="n">
        <x:v>17974</x:v>
      </x:c>
      <x:c r="F305" s="5" t="n">
        <x:v>19197</x:v>
      </x:c>
      <x:c r="G305" s="5" t="n">
        <x:f>F305-$D305</x:f>
        <x:v>1561.1748219208457</x:v>
      </x:c>
      <x:c r="H305" s="6" t="n">
        <x:f>G305/$D305</x:f>
        <x:v>0.08852292456728042</x:v>
      </x:c>
      <x:c r="I305" s="5" t="n">
        <x:f>ABS(G305)</x:f>
        <x:v>1561.1748219208457</x:v>
      </x:c>
      <x:c r="J305" s="6" t="n">
        <x:f>ABS(H305)</x:f>
        <x:v>0.08852292456728042</x:v>
      </x:c>
      <x:c r="K305" s="5" t="n">
        <x:v>11875.622848984896</x:v>
      </x:c>
      <x:c r="L305" s="5" t="n">
        <x:f>K305-$D305</x:f>
        <x:v>-5760.202329094258</x:v>
      </x:c>
      <x:c r="M305" s="6" t="n">
        <x:f>L305/$D305</x:f>
        <x:v>-0.32661938247460237</x:v>
      </x:c>
      <x:c r="N305" s="5" t="n">
        <x:f>ABS(L305)</x:f>
        <x:v>5760.202329094258</x:v>
      </x:c>
      <x:c r="O305" s="6" t="n">
        <x:f>ABS(M305)</x:f>
        <x:v>0.32661938247460237</x:v>
      </x:c>
      <x:c r="P305" s="5" t="n">
        <x:v>23207.805288972595</x:v>
      </x:c>
      <x:c r="Q305" s="5" t="n">
        <x:f>P305-$D305</x:f>
        <x:v>5571.980110893441</x:v>
      </x:c>
      <x:c r="R305" s="6" t="n">
        <x:f>Q305/$D305</x:f>
        <x:v>0.3159466628087955</x:v>
      </x:c>
      <x:c r="S305" s="5" t="n">
        <x:f>ABS(Q305)</x:f>
        <x:v>5571.980110893441</x:v>
      </x:c>
      <x:c r="T305" s="6" t="n">
        <x:f>ABS(R305)</x:f>
        <x:v>0.3159466628087955</x:v>
      </x:c>
    </x:row>
    <x:row r="306">
      <x:c r="A306" s="4"/>
      <x:c r="B306" s="4" t="str">
        <x:v>Puerto Suárez</x:v>
      </x:c>
      <x:c r="C306" s="5" t="n">
        <x:v>19829</x:v>
      </x:c>
      <x:c r="D306" s="5" t="n">
        <x:v>17990.99641730717</x:v>
      </x:c>
      <x:c r="E306" s="5" t="n">
        <x:v>17417</x:v>
      </x:c>
      <x:c r="F306" s="5" t="n">
        <x:v>22906</x:v>
      </x:c>
      <x:c r="G306" s="5" t="n">
        <x:f>F306-$D306</x:f>
        <x:v>4915.003582692829</x:v>
      </x:c>
      <x:c r="H306" s="6" t="n">
        <x:f>G306/$D306</x:f>
        <x:v>0.2731924051724362</x:v>
      </x:c>
      <x:c r="I306" s="5" t="n">
        <x:f>ABS(G306)</x:f>
        <x:v>4915.003582692829</x:v>
      </x:c>
      <x:c r="J306" s="6" t="n">
        <x:f>ABS(H306)</x:f>
        <x:v>0.2731924051724362</x:v>
      </x:c>
      <x:c r="K306" s="5" t="n">
        <x:v>22602.39513299204</x:v>
      </x:c>
      <x:c r="L306" s="5" t="n">
        <x:f>K306-$D306</x:f>
        <x:v>4611.398715684867</x:v>
      </x:c>
      <x:c r="M306" s="6" t="n">
        <x:f>L306/$D306</x:f>
        <x:v>0.2563170270685366</x:v>
      </x:c>
      <x:c r="N306" s="5" t="n">
        <x:f>ABS(L306)</x:f>
        <x:v>4611.398715684867</x:v>
      </x:c>
      <x:c r="O306" s="6" t="n">
        <x:f>ABS(M306)</x:f>
        <x:v>0.2563170270685366</x:v>
      </x:c>
      <x:c r="P306" s="5" t="n">
        <x:v>27562.608677077005</x:v>
      </x:c>
      <x:c r="Q306" s="5" t="n">
        <x:f>P306-$D306</x:f>
        <x:v>9571.612259769834</x:v>
      </x:c>
      <x:c r="R306" s="6" t="n">
        <x:f>Q306/$D306</x:f>
        <x:v>0.5320223537236677</x:v>
      </x:c>
      <x:c r="S306" s="5" t="n">
        <x:f>ABS(Q306)</x:f>
        <x:v>9571.612259769834</x:v>
      </x:c>
      <x:c r="T306" s="6" t="n">
        <x:f>ABS(R306)</x:f>
        <x:v>0.5320223537236677</x:v>
      </x:c>
    </x:row>
    <x:row r="307">
      <x:c r="A307" s="4"/>
      <x:c r="B307" s="4" t="str">
        <x:v>Quirusillas</x:v>
      </x:c>
      <x:c r="C307" s="5" t="n">
        <x:v>2995</x:v>
      </x:c>
      <x:c r="D307" s="5" t="n">
        <x:v>3062.994013362983</x:v>
      </x:c>
      <x:c r="E307" s="5" t="n">
        <x:v>3086</x:v>
      </x:c>
      <x:c r="F307" s="5" t="n">
        <x:v>2176</x:v>
      </x:c>
      <x:c r="G307" s="5" t="n">
        <x:f>F307-$D307</x:f>
        <x:v>-886.994013362983</x:v>
      </x:c>
      <x:c r="H307" s="6" t="n">
        <x:f>G307/$D307</x:f>
        <x:v>-0.2895839853076033</x:v>
      </x:c>
      <x:c r="I307" s="5" t="n">
        <x:f>ABS(G307)</x:f>
        <x:v>886.994013362983</x:v>
      </x:c>
      <x:c r="J307" s="6" t="n">
        <x:f>ABS(H307)</x:f>
        <x:v>0.2895839853076033</x:v>
      </x:c>
      <x:c r="K307" s="5" t="n">
        <x:v>3266.758982916721</x:v>
      </x:c>
      <x:c r="L307" s="5" t="n">
        <x:f>K307-$D307</x:f>
        <x:v>203.76496955373796</x:v>
      </x:c>
      <x:c r="M307" s="6" t="n">
        <x:f>L307/$D307</x:f>
        <x:v>0.06652476911961584</x:v>
      </x:c>
      <x:c r="N307" s="5" t="n">
        <x:f>ABS(L307)</x:f>
        <x:v>203.76496955373796</x:v>
      </x:c>
      <x:c r="O307" s="6" t="n">
        <x:f>ABS(M307)</x:f>
        <x:v>0.06652476911961584</x:v>
      </x:c>
      <x:c r="P307" s="5" t="n">
        <x:v>3995.7364313029393</x:v>
      </x:c>
      <x:c r="Q307" s="5" t="n">
        <x:f>P307-$D307</x:f>
        <x:v>932.7424179399563</x:v>
      </x:c>
      <x:c r="R307" s="6" t="n">
        <x:f>Q307/$D307</x:f>
        <x:v>0.30451983055489595</x:v>
      </x:c>
      <x:c r="S307" s="5" t="n">
        <x:f>ABS(Q307)</x:f>
        <x:v>932.7424179399563</x:v>
      </x:c>
      <x:c r="T307" s="6" t="n">
        <x:f>ABS(R307)</x:f>
        <x:v>0.30451983055489595</x:v>
      </x:c>
    </x:row>
    <x:row r="308">
      <x:c r="A308" s="4"/>
      <x:c r="B308" s="4" t="str">
        <x:v>Roboré</x:v>
      </x:c>
      <x:c r="C308" s="5" t="n">
        <x:v>15641</x:v>
      </x:c>
      <x:c r="D308" s="5" t="n">
        <x:v>17928.453862984945</x:v>
      </x:c>
      <x:c r="E308" s="5" t="n">
        <x:v>18763</x:v>
      </x:c>
      <x:c r="F308" s="5" t="n">
        <x:v>18936</x:v>
      </x:c>
      <x:c r="G308" s="5" t="n">
        <x:f>F308-$D308</x:f>
        <x:v>1007.5461370150551</x:v>
      </x:c>
      <x:c r="H308" s="6" t="n">
        <x:f>G308/$D308</x:f>
        <x:v>0.05619816101907333</x:v>
      </x:c>
      <x:c r="I308" s="5" t="n">
        <x:f>ABS(G308)</x:f>
        <x:v>1007.5461370150551</x:v>
      </x:c>
      <x:c r="J308" s="6" t="n">
        <x:f>ABS(H308)</x:f>
        <x:v>0.05619816101907333</x:v>
      </x:c>
      <x:c r="K308" s="5" t="n">
        <x:v>37721.79426119848</x:v>
      </x:c>
      <x:c r="L308" s="5" t="n">
        <x:f>K308-$D308</x:f>
        <x:v>19793.34039821354</x:v>
      </x:c>
      <x:c r="M308" s="6" t="n">
        <x:f>L308/$D308</x:f>
        <x:v>1.1040182577639244</x:v>
      </x:c>
      <x:c r="N308" s="5" t="n">
        <x:f>ABS(L308)</x:f>
        <x:v>19793.34039821354</x:v>
      </x:c>
      <x:c r="O308" s="6" t="n">
        <x:f>ABS(M308)</x:f>
        <x:v>1.1040182577639244</x:v>
      </x:c>
      <x:c r="P308" s="5" t="n">
        <x:v>21663.40825584956</x:v>
      </x:c>
      <x:c r="Q308" s="5" t="n">
        <x:f>P308-$D308</x:f>
        <x:v>3734.9543928646162</x:v>
      </x:c>
      <x:c r="R308" s="6" t="n">
        <x:f>Q308/$D308</x:f>
        <x:v>0.20832551548551528</x:v>
      </x:c>
      <x:c r="S308" s="5" t="n">
        <x:f>ABS(Q308)</x:f>
        <x:v>3734.9543928646162</x:v>
      </x:c>
      <x:c r="T308" s="6" t="n">
        <x:f>ABS(R308)</x:f>
        <x:v>0.20832551548551528</x:v>
      </x:c>
    </x:row>
    <x:row r="309">
      <x:c r="A309" s="4"/>
      <x:c r="B309" s="4" t="str">
        <x:v>Saipina</x:v>
      </x:c>
      <x:c r="C309" s="5" t="n">
        <x:v>7390</x:v>
      </x:c>
      <x:c r="D309" s="5" t="n">
        <x:v>6358.723584173894</x:v>
      </x:c>
      <x:c r="E309" s="5" t="n">
        <x:v>6048</x:v>
      </x:c>
      <x:c r="F309" s="5" t="n">
        <x:v>7317</x:v>
      </x:c>
      <x:c r="G309" s="5" t="n">
        <x:f>F309-$D309</x:f>
        <x:v>958.2764158261061</x:v>
      </x:c>
      <x:c r="H309" s="6" t="n">
        <x:f>G309/$D309</x:f>
        <x:v>0.15070263758769795</x:v>
      </x:c>
      <x:c r="I309" s="5" t="n">
        <x:f>ABS(G309)</x:f>
        <x:v>958.2764158261061</x:v>
      </x:c>
      <x:c r="J309" s="6" t="n">
        <x:f>ABS(H309)</x:f>
        <x:v>0.15070263758769795</x:v>
      </x:c>
      <x:c r="K309" s="5" t="n">
        <x:v>6632.1736634827685</x:v>
      </x:c>
      <x:c r="L309" s="5" t="n">
        <x:f>K309-$D309</x:f>
        <x:v>273.4500793088746</x:v>
      </x:c>
      <x:c r="M309" s="6" t="n">
        <x:f>L309/$D309</x:f>
        <x:v>0.04300392613219724</x:v>
      </x:c>
      <x:c r="N309" s="5" t="n">
        <x:f>ABS(L309)</x:f>
        <x:v>273.4500793088746</x:v>
      </x:c>
      <x:c r="O309" s="6" t="n">
        <x:f>ABS(M309)</x:f>
        <x:v>0.04300392613219724</x:v>
      </x:c>
      <x:c r="P309" s="5" t="n">
        <x:v>7817.649455246428</x:v>
      </x:c>
      <x:c r="Q309" s="5" t="n">
        <x:f>P309-$D309</x:f>
        <x:v>1458.9258710725344</x:v>
      </x:c>
      <x:c r="R309" s="6" t="n">
        <x:f>Q309/$D309</x:f>
        <x:v>0.22943690691377547</x:v>
      </x:c>
      <x:c r="S309" s="5" t="n">
        <x:f>ABS(Q309)</x:f>
        <x:v>1458.9258710725344</x:v>
      </x:c>
      <x:c r="T309" s="6" t="n">
        <x:f>ABS(R309)</x:f>
        <x:v>0.22943690691377547</x:v>
      </x:c>
    </x:row>
    <x:row r="310">
      <x:c r="A310" s="4"/>
      <x:c r="B310" s="4" t="str">
        <x:v>Samaipata</x:v>
      </x:c>
      <x:c r="C310" s="5" t="n">
        <x:v>10472</x:v>
      </x:c>
      <x:c r="D310" s="5" t="n">
        <x:v>11484.278222765442</x:v>
      </x:c>
      <x:c r="E310" s="5" t="n">
        <x:v>11843</x:v>
      </x:c>
      <x:c r="F310" s="5" t="n">
        <x:v>10616</x:v>
      </x:c>
      <x:c r="G310" s="5" t="n">
        <x:f>F310-$D310</x:f>
        <x:v>-868.2782227654425</x:v>
      </x:c>
      <x:c r="H310" s="6" t="n">
        <x:f>G310/$D310</x:f>
        <x:v>-0.07560581570065436</x:v>
      </x:c>
      <x:c r="I310" s="5" t="n">
        <x:f>ABS(G310)</x:f>
        <x:v>868.2782227654425</x:v>
      </x:c>
      <x:c r="J310" s="6" t="n">
        <x:f>ABS(H310)</x:f>
        <x:v>0.07560581570065436</x:v>
      </x:c>
      <x:c r="K310" s="5" t="n">
        <x:v>12437.998575869828</x:v>
      </x:c>
      <x:c r="L310" s="5" t="n">
        <x:f>K310-$D310</x:f>
        <x:v>953.7203531043851</x:v>
      </x:c>
      <x:c r="M310" s="6" t="n">
        <x:f>L310/$D310</x:f>
        <x:v>0.08304573736413075</x:v>
      </x:c>
      <x:c r="N310" s="5" t="n">
        <x:f>ABS(L310)</x:f>
        <x:v>953.7203531043851</x:v>
      </x:c>
      <x:c r="O310" s="6" t="n">
        <x:f>ABS(M310)</x:f>
        <x:v>0.08304573736413075</x:v>
      </x:c>
      <x:c r="P310" s="5" t="n">
        <x:v>14776.305844702309</x:v>
      </x:c>
      <x:c r="Q310" s="5" t="n">
        <x:f>P310-$D310</x:f>
        <x:v>3292.027621936866</x:v>
      </x:c>
      <x:c r="R310" s="6" t="n">
        <x:f>Q310/$D310</x:f>
        <x:v>0.2866551609147743</x:v>
      </x:c>
      <x:c r="S310" s="5" t="n">
        <x:f>ABS(Q310)</x:f>
        <x:v>3292.027621936866</x:v>
      </x:c>
      <x:c r="T310" s="6" t="n">
        <x:f>ABS(R310)</x:f>
        <x:v>0.2866551609147743</x:v>
      </x:c>
    </x:row>
    <x:row r="311">
      <x:c r="A311" s="4"/>
      <x:c r="B311" s="4" t="str">
        <x:v>San Antonio de Lomerio</x:v>
      </x:c>
      <x:c r="C311" s="5" t="n">
        <x:v>6481</x:v>
      </x:c>
      <x:c r="D311" s="5" t="n">
        <x:v>6393.0504789019005</x:v>
      </x:c>
      <x:c r="E311" s="5" t="n">
        <x:v>6364</x:v>
      </x:c>
      <x:c r="F311" s="5" t="n">
        <x:v>6976</x:v>
      </x:c>
      <x:c r="G311" s="5" t="n">
        <x:f>F311-$D311</x:f>
        <x:v>582.9495210980995</x:v>
      </x:c>
      <x:c r="H311" s="6" t="n">
        <x:f>G311/$D311</x:f>
        <x:v>0.09118487692564403</x:v>
      </x:c>
      <x:c r="I311" s="5" t="n">
        <x:f>ABS(G311)</x:f>
        <x:v>582.9495210980995</x:v>
      </x:c>
      <x:c r="J311" s="6" t="n">
        <x:f>ABS(H311)</x:f>
        <x:v>0.09118487692564403</x:v>
      </x:c>
      <x:c r="K311" s="5" t="n">
        <x:v>12383.121218321869</x:v>
      </x:c>
      <x:c r="L311" s="5" t="n">
        <x:f>K311-$D311</x:f>
        <x:v>5990.070739419968</x:v>
      </x:c>
      <x:c r="M311" s="6" t="n">
        <x:f>L311/$D311</x:f>
        <x:v>0.9369659694050859</x:v>
      </x:c>
      <x:c r="N311" s="5" t="n">
        <x:f>ABS(L311)</x:f>
        <x:v>5990.070739419968</x:v>
      </x:c>
      <x:c r="O311" s="6" t="n">
        <x:f>ABS(M311)</x:f>
        <x:v>0.9369659694050859</x:v>
      </x:c>
      <x:c r="P311" s="5" t="n">
        <x:v>9049.690574559558</x:v>
      </x:c>
      <x:c r="Q311" s="5" t="n">
        <x:f>P311-$D311</x:f>
        <x:v>2656.640095657657</x:v>
      </x:c>
      <x:c r="R311" s="6" t="n">
        <x:f>Q311/$D311</x:f>
        <x:v>0.4155512465332471</x:v>
      </x:c>
      <x:c r="S311" s="5" t="n">
        <x:f>ABS(Q311)</x:f>
        <x:v>2656.640095657657</x:v>
      </x:c>
      <x:c r="T311" s="6" t="n">
        <x:f>ABS(R311)</x:f>
        <x:v>0.4155512465332471</x:v>
      </x:c>
    </x:row>
    <x:row r="312">
      <x:c r="A312" s="4"/>
      <x:c r="B312" s="4" t="str">
        <x:v>San Carlos</x:v>
      </x:c>
      <x:c r="C312" s="5" t="n">
        <x:v>20093</x:v>
      </x:c>
      <x:c r="D312" s="5" t="n">
        <x:v>19223.41626430487</x:v>
      </x:c>
      <x:c r="E312" s="5" t="n">
        <x:v>18942</x:v>
      </x:c>
      <x:c r="F312" s="5" t="n">
        <x:v>24426</x:v>
      </x:c>
      <x:c r="G312" s="5" t="n">
        <x:f>F312-$D312</x:f>
        <x:v>5202.583735695131</x:v>
      </x:c>
      <x:c r="H312" s="6" t="n">
        <x:f>G312/$D312</x:f>
        <x:v>0.2706378337837684</x:v>
      </x:c>
      <x:c r="I312" s="5" t="n">
        <x:f>ABS(G312)</x:f>
        <x:v>5202.583735695131</x:v>
      </x:c>
      <x:c r="J312" s="6" t="n">
        <x:f>ABS(H312)</x:f>
        <x:v>0.2706378337837684</x:v>
      </x:c>
      <x:c r="K312" s="5" t="n">
        <x:v>27615.272759470277</x:v>
      </x:c>
      <x:c r="L312" s="5" t="n">
        <x:f>K312-$D312</x:f>
        <x:v>8391.856495165408</x:v>
      </x:c>
      <x:c r="M312" s="6" t="n">
        <x:f>L312/$D312</x:f>
        <x:v>0.4365434519954647</x:v>
      </x:c>
      <x:c r="N312" s="5" t="n">
        <x:f>ABS(L312)</x:f>
        <x:v>8391.856495165408</x:v>
      </x:c>
      <x:c r="O312" s="6" t="n">
        <x:f>ABS(M312)</x:f>
        <x:v>0.4365434519954647</x:v>
      </x:c>
      <x:c r="P312" s="5" t="n">
        <x:v>27561.02530481982</x:v>
      </x:c>
      <x:c r="Q312" s="5" t="n">
        <x:f>P312-$D312</x:f>
        <x:v>8337.609040514952</x:v>
      </x:c>
      <x:c r="R312" s="6" t="n">
        <x:f>Q312/$D312</x:f>
        <x:v>0.4337215053703382</x:v>
      </x:c>
      <x:c r="S312" s="5" t="n">
        <x:f>ABS(Q312)</x:f>
        <x:v>8337.609040514952</x:v>
      </x:c>
      <x:c r="T312" s="6" t="n">
        <x:f>ABS(R312)</x:f>
        <x:v>0.4337215053703382</x:v>
      </x:c>
    </x:row>
    <x:row r="313">
      <x:c r="A313" s="4"/>
      <x:c r="B313" s="4" t="str">
        <x:v>San Ignacio</x:v>
      </x:c>
      <x:c r="C313" s="5" t="n">
        <x:v>52362</x:v>
      </x:c>
      <x:c r="D313" s="5" t="n">
        <x:v>63068.21060032525</x:v>
      </x:c>
      <x:c r="E313" s="5" t="n">
        <x:v>67103</x:v>
      </x:c>
      <x:c r="F313" s="5" t="n">
        <x:v>67594</x:v>
      </x:c>
      <x:c r="G313" s="5" t="n">
        <x:f>F313-$D313</x:f>
        <x:v>4525.789399674752</x:v>
      </x:c>
      <x:c r="H313" s="6" t="n">
        <x:f>G313/$D313</x:f>
        <x:v>0.07176023160630804</x:v>
      </x:c>
      <x:c r="I313" s="5" t="n">
        <x:f>ABS(G313)</x:f>
        <x:v>4525.789399674752</x:v>
      </x:c>
      <x:c r="J313" s="6" t="n">
        <x:f>ABS(H313)</x:f>
        <x:v>0.07176023160630804</x:v>
      </x:c>
      <x:c r="K313" s="5" t="n">
        <x:v>69650.4688874227</x:v>
      </x:c>
      <x:c r="L313" s="5" t="n">
        <x:f>K313-$D313</x:f>
        <x:v>6582.258287097451</x:v>
      </x:c>
      <x:c r="M313" s="6" t="n">
        <x:f>L313/$D313</x:f>
        <x:v>0.10436729097659711</x:v>
      </x:c>
      <x:c r="N313" s="5" t="n">
        <x:f>ABS(L313)</x:f>
        <x:v>6582.258287097451</x:v>
      </x:c>
      <x:c r="O313" s="6" t="n">
        <x:f>ABS(M313)</x:f>
        <x:v>0.10436729097659711</x:v>
      </x:c>
      <x:c r="P313" s="5" t="n">
        <x:v>73116.00637439497</x:v>
      </x:c>
      <x:c r="Q313" s="5" t="n">
        <x:f>P313-$D313</x:f>
        <x:v>10047.795774069724</x:v>
      </x:c>
      <x:c r="R313" s="6" t="n">
        <x:f>Q313/$D313</x:f>
        <x:v>0.15931632875624835</x:v>
      </x:c>
      <x:c r="S313" s="5" t="n">
        <x:f>ABS(Q313)</x:f>
        <x:v>10047.795774069724</x:v>
      </x:c>
      <x:c r="T313" s="6" t="n">
        <x:f>ABS(R313)</x:f>
        <x:v>0.15931632875624835</x:v>
      </x:c>
    </x:row>
    <x:row r="314">
      <x:c r="A314" s="4"/>
      <x:c r="B314" s="4" t="str">
        <x:v>San Javier</x:v>
      </x:c>
      <x:c r="C314" s="5" t="n">
        <x:v>13620</x:v>
      </x:c>
      <x:c r="D314" s="5" t="n">
        <x:v>14560.34102710182</x:v>
      </x:c>
      <x:c r="E314" s="5" t="n">
        <x:v>14888</x:v>
      </x:c>
      <x:c r="F314" s="5" t="n">
        <x:v>17406</x:v>
      </x:c>
      <x:c r="G314" s="5" t="n">
        <x:f>F314-$D314</x:f>
        <x:v>2845.65897289818</x:v>
      </x:c>
      <x:c r="H314" s="6" t="n">
        <x:f>G314/$D314</x:f>
        <x:v>0.19543903316559869</x:v>
      </x:c>
      <x:c r="I314" s="5" t="n">
        <x:f>ABS(G314)</x:f>
        <x:v>2845.65897289818</x:v>
      </x:c>
      <x:c r="J314" s="6" t="n">
        <x:f>ABS(H314)</x:f>
        <x:v>0.19543903316559869</x:v>
      </x:c>
      <x:c r="K314" s="5" t="n">
        <x:v>15170.613311235547</x:v>
      </x:c>
      <x:c r="L314" s="5" t="n">
        <x:f>K314-$D314</x:f>
        <x:v>610.2722841337272</x:v>
      </x:c>
      <x:c r="M314" s="6" t="n">
        <x:f>L314/$D314</x:f>
        <x:v>0.04191332352709321</x:v>
      </x:c>
      <x:c r="N314" s="5" t="n">
        <x:f>ABS(L314)</x:f>
        <x:v>610.2722841337272</x:v>
      </x:c>
      <x:c r="O314" s="6" t="n">
        <x:f>ABS(M314)</x:f>
        <x:v>0.04191332352709321</x:v>
      </x:c>
      <x:c r="P314" s="5" t="n">
        <x:v>16444.528853743337</x:v>
      </x:c>
      <x:c r="Q314" s="5" t="n">
        <x:f>P314-$D314</x:f>
        <x:v>1884.187826641517</x:v>
      </x:c>
      <x:c r="R314" s="6" t="n">
        <x:f>Q314/$D314</x:f>
        <x:v>0.12940547361730012</x:v>
      </x:c>
      <x:c r="S314" s="5" t="n">
        <x:f>ABS(Q314)</x:f>
        <x:v>1884.187826641517</x:v>
      </x:c>
      <x:c r="T314" s="6" t="n">
        <x:f>ABS(R314)</x:f>
        <x:v>0.12940547361730012</x:v>
      </x:c>
    </x:row>
    <x:row r="315">
      <x:c r="A315" s="4"/>
      <x:c r="B315" s="4" t="str">
        <x:v>San José</x:v>
      </x:c>
      <x:c r="C315" s="5" t="n">
        <x:v>28922</x:v>
      </x:c>
      <x:c r="D315" s="5" t="n">
        <x:v>37556.780226760115</x:v>
      </x:c>
      <x:c r="E315" s="5" t="n">
        <x:v>40974</x:v>
      </x:c>
      <x:c r="F315" s="5" t="n">
        <x:v>32043</x:v>
      </x:c>
      <x:c r="G315" s="5" t="n">
        <x:f>F315-$D315</x:f>
        <x:v>-5513.780226760115</x:v>
      </x:c>
      <x:c r="H315" s="6" t="n">
        <x:f>G315/$D315</x:f>
        <x:v>-0.1468118457830795</x:v>
      </x:c>
      <x:c r="I315" s="5" t="n">
        <x:f>ABS(G315)</x:f>
        <x:v>5513.780226760115</x:v>
      </x:c>
      <x:c r="J315" s="6" t="n">
        <x:f>ABS(H315)</x:f>
        <x:v>0.1468118457830795</x:v>
      </x:c>
      <x:c r="K315" s="5" t="n">
        <x:v>49613.39496001918</x:v>
      </x:c>
      <x:c r="L315" s="5" t="n">
        <x:f>K315-$D315</x:f>
        <x:v>12056.614733259063</x:v>
      </x:c>
      <x:c r="M315" s="6" t="n">
        <x:f>L315/$D315</x:f>
        <x:v>0.3210236516672543</x:v>
      </x:c>
      <x:c r="N315" s="5" t="n">
        <x:f>ABS(L315)</x:f>
        <x:v>12056.614733259063</x:v>
      </x:c>
      <x:c r="O315" s="6" t="n">
        <x:f>ABS(M315)</x:f>
        <x:v>0.3210236516672543</x:v>
      </x:c>
      <x:c r="P315" s="5" t="n">
        <x:v>40387.25208066535</x:v>
      </x:c>
      <x:c r="Q315" s="5" t="n">
        <x:f>P315-$D315</x:f>
        <x:v>2830.4718539052337</x:v>
      </x:c>
      <x:c r="R315" s="6" t="n">
        <x:f>Q315/$D315</x:f>
        <x:v>0.07536513611697879</x:v>
      </x:c>
      <x:c r="S315" s="5" t="n">
        <x:f>ABS(Q315)</x:f>
        <x:v>2830.4718539052337</x:v>
      </x:c>
      <x:c r="T315" s="6" t="n">
        <x:f>ABS(R315)</x:f>
        <x:v>0.07536513611697879</x:v>
      </x:c>
    </x:row>
    <x:row r="316">
      <x:c r="A316" s="4"/>
      <x:c r="B316" s="4" t="str">
        <x:v>San Juan</x:v>
      </x:c>
      <x:c r="C316" s="5" t="n">
        <x:v>9191</x:v>
      </x:c>
      <x:c r="D316" s="5" t="n">
        <x:v>9937.812999720565</x:v>
      </x:c>
      <x:c r="E316" s="5" t="n">
        <x:v>10200</x:v>
      </x:c>
      <x:c r="F316" s="5" t="n">
        <x:v>10089</x:v>
      </x:c>
      <x:c r="G316" s="5" t="n">
        <x:f>F316-$D316</x:f>
        <x:v>151.18700027943487</x:v>
      </x:c>
      <x:c r="H316" s="6" t="n">
        <x:f>G316/$D316</x:f>
        <x:v>0.015213307020738465</x:v>
      </x:c>
      <x:c r="I316" s="5" t="n">
        <x:f>ABS(G316)</x:f>
        <x:v>151.18700027943487</x:v>
      </x:c>
      <x:c r="J316" s="6" t="n">
        <x:f>ABS(H316)</x:f>
        <x:v>0.015213307020738465</x:v>
      </x:c>
      <x:c r="K316" s="5" t="n">
        <x:v>15470.149601609535</x:v>
      </x:c>
      <x:c r="L316" s="5" t="n">
        <x:f>K316-$D316</x:f>
        <x:v>5532.33660188897</x:v>
      </x:c>
      <x:c r="M316" s="6" t="n">
        <x:f>L316/$D316</x:f>
        <x:v>0.5566955830266207</x:v>
      </x:c>
      <x:c r="N316" s="5" t="n">
        <x:f>ABS(L316)</x:f>
        <x:v>5532.33660188897</x:v>
      </x:c>
      <x:c r="O316" s="6" t="n">
        <x:f>ABS(M316)</x:f>
        <x:v>0.5566955830266207</x:v>
      </x:c>
      <x:c r="P316" s="5" t="n">
        <x:v>13152.940887089284</x:v>
      </x:c>
      <x:c r="Q316" s="5" t="n">
        <x:f>P316-$D316</x:f>
        <x:v>3215.127887368719</x:v>
      </x:c>
      <x:c r="R316" s="6" t="n">
        <x:f>Q316/$D316</x:f>
        <x:v>0.3235246917464761</x:v>
      </x:c>
      <x:c r="S316" s="5" t="n">
        <x:f>ABS(Q316)</x:f>
        <x:v>3215.127887368719</x:v>
      </x:c>
      <x:c r="T316" s="6" t="n">
        <x:f>ABS(R316)</x:f>
        <x:v>0.3235246917464761</x:v>
      </x:c>
    </x:row>
    <x:row r="317">
      <x:c r="A317" s="4"/>
      <x:c r="B317" s="4" t="str">
        <x:v>San Julián</x:v>
      </x:c>
      <x:c r="C317" s="5" t="n">
        <x:v>47416</x:v>
      </x:c>
      <x:c r="D317" s="5" t="n">
        <x:v>45523.04112778646</x:v>
      </x:c>
      <x:c r="E317" s="5" t="n">
        <x:v>44909</x:v>
      </x:c>
      <x:c r="F317" s="5" t="n">
        <x:v>54814</x:v>
      </x:c>
      <x:c r="G317" s="5" t="n">
        <x:f>F317-$D317</x:f>
        <x:v>9290.958872213538</x:v>
      </x:c>
      <x:c r="H317" s="6" t="n">
        <x:f>G317/$D317</x:f>
        <x:v>0.20409354564281296</x:v>
      </x:c>
      <x:c r="I317" s="5" t="n">
        <x:f>ABS(G317)</x:f>
        <x:v>9290.958872213538</x:v>
      </x:c>
      <x:c r="J317" s="6" t="n">
        <x:f>ABS(H317)</x:f>
        <x:v>0.20409354564281296</x:v>
      </x:c>
      <x:c r="K317" s="5" t="n">
        <x:v>55440.06814391947</x:v>
      </x:c>
      <x:c r="L317" s="5" t="n">
        <x:f>K317-$D317</x:f>
        <x:v>9917.027016133005</x:v>
      </x:c>
      <x:c r="M317" s="6" t="n">
        <x:f>L317/$D317</x:f>
        <x:v>0.21784632068615964</x:v>
      </x:c>
      <x:c r="N317" s="5" t="n">
        <x:f>ABS(L317)</x:f>
        <x:v>9917.027016133005</x:v>
      </x:c>
      <x:c r="O317" s="6" t="n">
        <x:f>ABS(M317)</x:f>
        <x:v>0.21784632068615964</x:v>
      </x:c>
      <x:c r="P317" s="5" t="n">
        <x:v>64346.853503129794</x:v>
      </x:c>
      <x:c r="Q317" s="5" t="n">
        <x:f>P317-$D317</x:f>
        <x:v>18823.812375343332</x:v>
      </x:c>
      <x:c r="R317" s="6" t="n">
        <x:f>Q317/$D317</x:f>
        <x:v>0.4135007659638453</x:v>
      </x:c>
      <x:c r="S317" s="5" t="n">
        <x:f>ABS(Q317)</x:f>
        <x:v>18823.812375343332</x:v>
      </x:c>
      <x:c r="T317" s="6" t="n">
        <x:f>ABS(R317)</x:f>
        <x:v>0.4135007659638453</x:v>
      </x:c>
    </x:row>
    <x:row r="318">
      <x:c r="A318" s="4"/>
      <x:c r="B318" s="4" t="str">
        <x:v>San Matías</x:v>
      </x:c>
      <x:c r="C318" s="5" t="n">
        <x:v>14470</x:v>
      </x:c>
      <x:c r="D318" s="5" t="n">
        <x:v>15145.79328769255</x:v>
      </x:c>
      <x:c r="E318" s="5" t="n">
        <x:v>15378</x:v>
      </x:c>
      <x:c r="F318" s="5" t="n">
        <x:v>17697</x:v>
      </x:c>
      <x:c r="G318" s="5" t="n">
        <x:f>F318-$D318</x:f>
        <x:v>2551.2067123074503</x:v>
      </x:c>
      <x:c r="H318" s="6" t="n">
        <x:f>G318/$D318</x:f>
        <x:v>0.168443254430295</x:v>
      </x:c>
      <x:c r="I318" s="5" t="n">
        <x:f>ABS(G318)</x:f>
        <x:v>2551.2067123074503</x:v>
      </x:c>
      <x:c r="J318" s="6" t="n">
        <x:f>ABS(H318)</x:f>
        <x:v>0.168443254430295</x:v>
      </x:c>
      <x:c r="K318" s="5" t="n">
        <x:v>16176.992217288667</x:v>
      </x:c>
      <x:c r="L318" s="5" t="n">
        <x:f>K318-$D318</x:f>
        <x:v>1031.1989295961175</x:v>
      </x:c>
      <x:c r="M318" s="6" t="n">
        <x:f>L318/$D318</x:f>
        <x:v>0.0680848411178349</x:v>
      </x:c>
      <x:c r="N318" s="5" t="n">
        <x:f>ABS(L318)</x:f>
        <x:v>1031.1989295961175</x:v>
      </x:c>
      <x:c r="O318" s="6" t="n">
        <x:f>ABS(M318)</x:f>
        <x:v>0.0680848411178349</x:v>
      </x:c>
      <x:c r="P318" s="5" t="n">
        <x:v>20225.565713067237</x:v>
      </x:c>
      <x:c r="Q318" s="5" t="n">
        <x:f>P318-$D318</x:f>
        <x:v>5079.772425374687</x:v>
      </x:c>
      <x:c r="R318" s="6" t="n">
        <x:f>Q318/$D318</x:f>
        <x:v>0.3353916383833459</x:v>
      </x:c>
      <x:c r="S318" s="5" t="n">
        <x:f>ABS(Q318)</x:f>
        <x:v>5079.772425374687</x:v>
      </x:c>
      <x:c r="T318" s="6" t="n">
        <x:f>ABS(R318)</x:f>
        <x:v>0.3353916383833459</x:v>
      </x:c>
    </x:row>
    <x:row r="319">
      <x:c r="A319" s="4"/>
      <x:c r="B319" s="4" t="str">
        <x:v>San Miguel</x:v>
      </x:c>
      <x:c r="C319" s="5" t="n">
        <x:v>11327</x:v>
      </x:c>
      <x:c r="D319" s="5" t="n">
        <x:v>14149.66236304188</x:v>
      </x:c>
      <x:c r="E319" s="5" t="n">
        <x:v>15239</x:v>
      </x:c>
      <x:c r="F319" s="5" t="n">
        <x:v>12973</x:v>
      </x:c>
      <x:c r="G319" s="5" t="n">
        <x:f>F319-$D319</x:f>
        <x:v>-1176.6623630418799</x:v>
      </x:c>
      <x:c r="H319" s="6" t="n">
        <x:f>G319/$D319</x:f>
        <x:v>-0.0831583350084208</x:v>
      </x:c>
      <x:c r="I319" s="5" t="n">
        <x:f>ABS(G319)</x:f>
        <x:v>1176.6623630418799</x:v>
      </x:c>
      <x:c r="J319" s="6" t="n">
        <x:f>ABS(H319)</x:f>
        <x:v>0.0831583350084208</x:v>
      </x:c>
      <x:c r="K319" s="5" t="n">
        <x:v>11377.00797998108</x:v>
      </x:c>
      <x:c r="L319" s="5" t="n">
        <x:f>K319-$D319</x:f>
        <x:v>-2772.6543830608007</x:v>
      </x:c>
      <x:c r="M319" s="6" t="n">
        <x:f>L319/$D319</x:f>
        <x:v>-0.19595198188635352</x:v>
      </x:c>
      <x:c r="N319" s="5" t="n">
        <x:f>ABS(L319)</x:f>
        <x:v>2772.6543830608007</x:v>
      </x:c>
      <x:c r="O319" s="6" t="n">
        <x:f>ABS(M319)</x:f>
        <x:v>0.19595198188635352</x:v>
      </x:c>
      <x:c r="P319" s="5" t="n">
        <x:v>15848.016317993955</x:v>
      </x:c>
      <x:c r="Q319" s="5" t="n">
        <x:f>P319-$D319</x:f>
        <x:v>1698.3539549520756</x:v>
      </x:c>
      <x:c r="R319" s="6" t="n">
        <x:f>Q319/$D319</x:f>
        <x:v>0.12002787850175707</x:v>
      </x:c>
      <x:c r="S319" s="5" t="n">
        <x:f>ABS(Q319)</x:f>
        <x:v>1698.3539549520756</x:v>
      </x:c>
      <x:c r="T319" s="6" t="n">
        <x:f>ABS(R319)</x:f>
        <x:v>0.12002787850175707</x:v>
      </x:c>
    </x:row>
    <x:row r="320">
      <x:c r="A320" s="4"/>
      <x:c r="B320" s="4" t="str">
        <x:v>San Pedro</x:v>
      </x:c>
      <x:c r="C320" s="5" t="n">
        <x:v>19103</x:v>
      </x:c>
      <x:c r="D320" s="5" t="n">
        <x:v>16130.295758081893</x:v>
      </x:c>
      <x:c r="E320" s="5" t="n">
        <x:v>15246</x:v>
      </x:c>
      <x:c r="F320" s="5" t="n">
        <x:v>17505</x:v>
      </x:c>
      <x:c r="G320" s="5" t="n">
        <x:f>F320-$D320</x:f>
        <x:v>1374.704241918107</x:v>
      </x:c>
      <x:c r="H320" s="6" t="n">
        <x:f>G320/$D320</x:f>
        <x:v>0.08522498672904542</x:v>
      </x:c>
      <x:c r="I320" s="5" t="n">
        <x:f>ABS(G320)</x:f>
        <x:v>1374.704241918107</x:v>
      </x:c>
      <x:c r="J320" s="6" t="n">
        <x:f>ABS(H320)</x:f>
        <x:v>0.08522498672904542</x:v>
      </x:c>
      <x:c r="K320" s="5" t="n">
        <x:v>27687.701723101283</x:v>
      </x:c>
      <x:c r="L320" s="5" t="n">
        <x:f>K320-$D320</x:f>
        <x:v>11557.40596501939</x:v>
      </x:c>
      <x:c r="M320" s="6" t="n">
        <x:f>L320/$D320</x:f>
        <x:v>0.7165030411316972</x:v>
      </x:c>
      <x:c r="N320" s="5" t="n">
        <x:f>ABS(L320)</x:f>
        <x:v>11557.40596501939</x:v>
      </x:c>
      <x:c r="O320" s="6" t="n">
        <x:f>ABS(M320)</x:f>
        <x:v>0.7165030411316972</x:v>
      </x:c>
      <x:c r="P320" s="5" t="n">
        <x:v>26028.61387174408</x:v>
      </x:c>
      <x:c r="Q320" s="5" t="n">
        <x:f>P320-$D320</x:f>
        <x:v>9898.318113662188</x:v>
      </x:c>
      <x:c r="R320" s="6" t="n">
        <x:f>Q320/$D320</x:f>
        <x:v>0.6136476517303009</x:v>
      </x:c>
      <x:c r="S320" s="5" t="n">
        <x:f>ABS(Q320)</x:f>
        <x:v>9898.318113662188</x:v>
      </x:c>
      <x:c r="T320" s="6" t="n">
        <x:f>ABS(R320)</x:f>
        <x:v>0.6136476517303009</x:v>
      </x:c>
    </x:row>
    <x:row r="321">
      <x:c r="A321" s="4"/>
      <x:c r="B321" s="4" t="str">
        <x:v>San Rafael</x:v>
      </x:c>
      <x:c r="C321" s="5" t="n">
        <x:v>6139</x:v>
      </x:c>
      <x:c r="D321" s="5" t="n">
        <x:v>8071.184802367203</x:v>
      </x:c>
      <x:c r="E321" s="5" t="n">
        <x:v>8842</x:v>
      </x:c>
      <x:c r="F321" s="5" t="n">
        <x:v>6487</x:v>
      </x:c>
      <x:c r="G321" s="5" t="n">
        <x:f>F321-$D321</x:f>
        <x:v>-1584.1848023672028</x:v>
      </x:c>
      <x:c r="H321" s="6" t="n">
        <x:f>G321/$D321</x:f>
        <x:v>-0.1962766113226123</x:v>
      </x:c>
      <x:c r="I321" s="5" t="n">
        <x:f>ABS(G321)</x:f>
        <x:v>1584.1848023672028</x:v>
      </x:c>
      <x:c r="J321" s="6" t="n">
        <x:f>ABS(H321)</x:f>
        <x:v>0.1962766113226123</x:v>
      </x:c>
      <x:c r="K321" s="5" t="n">
        <x:v>4607.336405352345</x:v>
      </x:c>
      <x:c r="L321" s="5" t="n">
        <x:f>K321-$D321</x:f>
        <x:v>-3463.848397014858</x:v>
      </x:c>
      <x:c r="M321" s="6" t="n">
        <x:f>L321/$D321</x:f>
        <x:v>-0.42916232025798046</x:v>
      </x:c>
      <x:c r="N321" s="5" t="n">
        <x:f>ABS(L321)</x:f>
        <x:v>3463.848397014858</x:v>
      </x:c>
      <x:c r="O321" s="6" t="n">
        <x:f>ABS(M321)</x:f>
        <x:v>0.42916232025798046</x:v>
      </x:c>
      <x:c r="P321" s="5" t="n">
        <x:v>8503.67055739378</x:v>
      </x:c>
      <x:c r="Q321" s="5" t="n">
        <x:f>P321-$D321</x:f>
        <x:v>432.48575502657695</x:v>
      </x:c>
      <x:c r="R321" s="6" t="n">
        <x:f>Q321/$D321</x:f>
        <x:v>0.053583924246132106</x:v>
      </x:c>
      <x:c r="S321" s="5" t="n">
        <x:f>ABS(Q321)</x:f>
        <x:v>432.48575502657695</x:v>
      </x:c>
      <x:c r="T321" s="6" t="n">
        <x:f>ABS(R321)</x:f>
        <x:v>0.053583924246132106</x:v>
      </x:c>
    </x:row>
    <x:row r="322">
      <x:c r="A322" s="4"/>
      <x:c r="B322" s="4" t="str">
        <x:v>San Ramón</x:v>
      </x:c>
      <x:c r="C322" s="5" t="n">
        <x:v>7490</x:v>
      </x:c>
      <x:c r="D322" s="5" t="n">
        <x:v>8265.173904308516</x:v>
      </x:c>
      <x:c r="E322" s="5" t="n">
        <x:v>8541</x:v>
      </x:c>
      <x:c r="F322" s="5" t="n">
        <x:v>9671</x:v>
      </x:c>
      <x:c r="G322" s="5" t="n">
        <x:f>F322-$D322</x:f>
        <x:v>1405.8260956914837</x:v>
      </x:c>
      <x:c r="H322" s="6" t="n">
        <x:f>G322/$D322</x:f>
        <x:v>0.17009032259546852</x:v>
      </x:c>
      <x:c r="I322" s="5" t="n">
        <x:f>ABS(G322)</x:f>
        <x:v>1405.8260956914837</x:v>
      </x:c>
      <x:c r="J322" s="6" t="n">
        <x:f>ABS(H322)</x:f>
        <x:v>0.17009032259546852</x:v>
      </x:c>
      <x:c r="K322" s="5" t="n">
        <x:v>6942.021922547511</x:v>
      </x:c>
      <x:c r="L322" s="5" t="n">
        <x:f>K322-$D322</x:f>
        <x:v>-1323.1519817610051</x:v>
      </x:c>
      <x:c r="M322" s="6" t="n">
        <x:f>L322/$D322</x:f>
        <x:v>-0.16008761546702183</x:v>
      </x:c>
      <x:c r="N322" s="5" t="n">
        <x:f>ABS(L322)</x:f>
        <x:v>1323.1519817610051</x:v>
      </x:c>
      <x:c r="O322" s="6" t="n">
        <x:f>ABS(M322)</x:f>
        <x:v>0.16008761546702183</x:v>
      </x:c>
      <x:c r="P322" s="5" t="n">
        <x:v>9894.36136583738</x:v>
      </x:c>
      <x:c r="Q322" s="5" t="n">
        <x:f>P322-$D322</x:f>
        <x:v>1629.1874615288634</x:v>
      </x:c>
      <x:c r="R322" s="6" t="n">
        <x:f>Q322/$D322</x:f>
        <x:v>0.19711472261697863</x:v>
      </x:c>
      <x:c r="S322" s="5" t="n">
        <x:f>ABS(Q322)</x:f>
        <x:v>1629.1874615288634</x:v>
      </x:c>
      <x:c r="T322" s="6" t="n">
        <x:f>ABS(R322)</x:f>
        <x:v>0.19711472261697863</x:v>
      </x:c>
    </x:row>
    <x:row r="323">
      <x:c r="A323" s="4"/>
      <x:c r="B323" s="4" t="str">
        <x:v>Santa Cruz de la Sierra</x:v>
      </x:c>
      <x:c r="C323" s="5" t="n">
        <x:v>1444425</x:v>
      </x:c>
      <x:c r="D323" s="5" t="n">
        <x:v>1567623.4992710266</x:v>
      </x:c>
      <x:c r="E323" s="5" t="n">
        <x:v>1610982</x:v>
      </x:c>
      <x:c r="F323" s="5" t="n">
        <x:v>1867673</x:v>
      </x:c>
      <x:c r="G323" s="5" t="n">
        <x:f>F323-$D323</x:f>
        <x:v>300049.5007289734</x:v>
      </x:c>
      <x:c r="H323" s="6" t="n">
        <x:f>G323/$D323</x:f>
        <x:v>0.19140405899024981</x:v>
      </x:c>
      <x:c r="I323" s="5" t="n">
        <x:f>ABS(G323)</x:f>
        <x:v>300049.5007289734</x:v>
      </x:c>
      <x:c r="J323" s="6" t="n">
        <x:f>ABS(H323)</x:f>
        <x:v>0.19140405899024981</x:v>
      </x:c>
      <x:c r="K323" s="5" t="n">
        <x:v>1908143.4147338087</x:v>
      </x:c>
      <x:c r="L323" s="5" t="n">
        <x:f>K323-$D323</x:f>
        <x:v>340519.91546278214</x:v>
      </x:c>
      <x:c r="M323" s="6" t="n">
        <x:f>L323/$D323</x:f>
        <x:v>0.2172204713830394</x:v>
      </x:c>
      <x:c r="N323" s="5" t="n">
        <x:f>ABS(L323)</x:f>
        <x:v>340519.91546278214</x:v>
      </x:c>
      <x:c r="O323" s="6" t="n">
        <x:f>ABS(M323)</x:f>
        <x:v>0.2172204713830394</x:v>
      </x:c>
      <x:c r="P323" s="5" t="n">
        <x:v>2034579.3426365133</x:v>
      </x:c>
      <x:c r="Q323" s="5" t="n">
        <x:f>P323-$D323</x:f>
        <x:v>466955.8433654867</x:v>
      </x:c>
      <x:c r="R323" s="6" t="n">
        <x:f>Q323/$D323</x:f>
        <x:v>0.2978749958664371</x:v>
      </x:c>
      <x:c r="S323" s="5" t="n">
        <x:f>ABS(Q323)</x:f>
        <x:v>466955.8433654867</x:v>
      </x:c>
      <x:c r="T323" s="6" t="n">
        <x:f>ABS(R323)</x:f>
        <x:v>0.2978749958664371</x:v>
      </x:c>
    </x:row>
    <x:row r="324">
      <x:c r="A324" s="4"/>
      <x:c r="B324" s="4" t="str">
        <x:v>Santa Rosa</x:v>
      </x:c>
      <x:c r="C324" s="5" t="n">
        <x:v>19217</x:v>
      </x:c>
      <x:c r="D324" s="5" t="n">
        <x:v>18296.06439956519</x:v>
      </x:c>
      <x:c r="E324" s="5" t="n">
        <x:v>17999</x:v>
      </x:c>
      <x:c r="F324" s="5" t="n">
        <x:v>19163</x:v>
      </x:c>
      <x:c r="G324" s="5" t="n">
        <x:f>F324-$D324</x:f>
        <x:v>866.9356004348083</x:v>
      </x:c>
      <x:c r="H324" s="6" t="n">
        <x:f>G324/$D324</x:f>
        <x:v>0.04738372042762438</x:v>
      </x:c>
      <x:c r="I324" s="5" t="n">
        <x:f>ABS(G324)</x:f>
        <x:v>866.9356004348083</x:v>
      </x:c>
      <x:c r="J324" s="6" t="n">
        <x:f>ABS(H324)</x:f>
        <x:v>0.04738372042762438</x:v>
      </x:c>
      <x:c r="K324" s="5" t="n">
        <x:v>23060.05893244441</x:v>
      </x:c>
      <x:c r="L324" s="5" t="n">
        <x:f>K324-$D324</x:f>
        <x:v>4763.99453287922</x:v>
      </x:c>
      <x:c r="M324" s="6" t="n">
        <x:f>L324/$D324</x:f>
        <x:v>0.26038356822751657</x:v>
      </x:c>
      <x:c r="N324" s="5" t="n">
        <x:f>ABS(L324)</x:f>
        <x:v>4763.99453287922</x:v>
      </x:c>
      <x:c r="O324" s="6" t="n">
        <x:f>ABS(M324)</x:f>
        <x:v>0.26038356822751657</x:v>
      </x:c>
      <x:c r="P324" s="5" t="n">
        <x:v>20249.262026730503</x:v>
      </x:c>
      <x:c r="Q324" s="5" t="n">
        <x:f>P324-$D324</x:f>
        <x:v>1953.1976271653111</x:v>
      </x:c>
      <x:c r="R324" s="6" t="n">
        <x:f>Q324/$D324</x:f>
        <x:v>0.10675506953351832</x:v>
      </x:c>
      <x:c r="S324" s="5" t="n">
        <x:f>ABS(Q324)</x:f>
        <x:v>1953.1976271653111</x:v>
      </x:c>
      <x:c r="T324" s="6" t="n">
        <x:f>ABS(R324)</x:f>
        <x:v>0.10675506953351832</x:v>
      </x:c>
    </x:row>
    <x:row r="325">
      <x:c r="A325" s="4"/>
      <x:c r="B325" s="4" t="str">
        <x:v>Trigal</x:v>
      </x:c>
      <x:c r="C325" s="5" t="n">
        <x:v>2135</x:v>
      </x:c>
      <x:c r="D325" s="5" t="n">
        <x:v>2300.8877160935976</x:v>
      </x:c>
      <x:c r="E325" s="5" t="n">
        <x:v>2359</x:v>
      </x:c>
      <x:c r="F325" s="5" t="n">
        <x:v>1593</x:v>
      </x:c>
      <x:c r="G325" s="5" t="n">
        <x:f>F325-$D325</x:f>
        <x:v>-707.8877160935976</x:v>
      </x:c>
      <x:c r="H325" s="6" t="n">
        <x:f>G325/$D325</x:f>
        <x:v>-0.3076585229006462</x:v>
      </x:c>
      <x:c r="I325" s="5" t="n">
        <x:f>ABS(G325)</x:f>
        <x:v>707.8877160935976</x:v>
      </x:c>
      <x:c r="J325" s="6" t="n">
        <x:f>ABS(H325)</x:f>
        <x:v>0.3076585229006462</x:v>
      </x:c>
      <x:c r="K325" s="5" t="n">
        <x:v>2857.5026833606435</x:v>
      </x:c>
      <x:c r="L325" s="5" t="n">
        <x:f>K325-$D325</x:f>
        <x:v>556.6149672670458</x:v>
      </x:c>
      <x:c r="M325" s="6" t="n">
        <x:f>L325/$D325</x:f>
        <x:v>0.24191313786144064</x:v>
      </x:c>
      <x:c r="N325" s="5" t="n">
        <x:f>ABS(L325)</x:f>
        <x:v>556.6149672670458</x:v>
      </x:c>
      <x:c r="O325" s="6" t="n">
        <x:f>ABS(M325)</x:f>
        <x:v>0.24191313786144064</x:v>
      </x:c>
      <x:c r="P325" s="5" t="n">
        <x:v>3024.911260437002</x:v>
      </x:c>
      <x:c r="Q325" s="5" t="n">
        <x:f>P325-$D325</x:f>
        <x:v>724.0235443434044</x:v>
      </x:c>
      <x:c r="R325" s="6" t="n">
        <x:f>Q325/$D325</x:f>
        <x:v>0.314671393688275</x:v>
      </x:c>
      <x:c r="S325" s="5" t="n">
        <x:f>ABS(Q325)</x:f>
        <x:v>724.0235443434044</x:v>
      </x:c>
      <x:c r="T325" s="6" t="n">
        <x:f>ABS(R325)</x:f>
        <x:v>0.314671393688275</x:v>
      </x:c>
    </x:row>
    <x:row r="326">
      <x:c r="A326" s="4"/>
      <x:c r="B326" s="4" t="str">
        <x:v>Urubichá</x:v>
      </x:c>
      <x:c r="C326" s="5" t="n">
        <x:v>7026</x:v>
      </x:c>
      <x:c r="D326" s="5" t="n">
        <x:v>6669.703968258495</x:v>
      </x:c>
      <x:c r="E326" s="5" t="n">
        <x:v>6555</x:v>
      </x:c>
      <x:c r="F326" s="5" t="n">
        <x:v>8068</x:v>
      </x:c>
      <x:c r="G326" s="5" t="n">
        <x:f>F326-$D326</x:f>
        <x:v>1398.2960317415054</x:v>
      </x:c>
      <x:c r="H326" s="6" t="n">
        <x:f>G326/$D326</x:f>
        <x:v>0.2096488897252527</x:v>
      </x:c>
      <x:c r="I326" s="5" t="n">
        <x:f>ABS(G326)</x:f>
        <x:v>1398.2960317415054</x:v>
      </x:c>
      <x:c r="J326" s="6" t="n">
        <x:f>ABS(H326)</x:f>
        <x:v>0.2096488897252527</x:v>
      </x:c>
      <x:c r="K326" s="5" t="n">
        <x:v>14210.702245785324</x:v>
      </x:c>
      <x:c r="L326" s="5" t="n">
        <x:f>K326-$D326</x:f>
        <x:v>7540.998277526829</x:v>
      </x:c>
      <x:c r="M326" s="6" t="n">
        <x:f>L326/$D326</x:f>
        <x:v>1.1306346298748602</x:v>
      </x:c>
      <x:c r="N326" s="5" t="n">
        <x:f>ABS(L326)</x:f>
        <x:v>7540.998277526829</x:v>
      </x:c>
      <x:c r="O326" s="6" t="n">
        <x:f>ABS(M326)</x:f>
        <x:v>1.1306346298748602</x:v>
      </x:c>
      <x:c r="P326" s="5" t="n">
        <x:v>14350.601382044842</x:v>
      </x:c>
      <x:c r="Q326" s="5" t="n">
        <x:f>P326-$D326</x:f>
        <x:v>7680.897413786348</x:v>
      </x:c>
      <x:c r="R326" s="6" t="n">
        <x:f>Q326/$D326</x:f>
        <x:v>1.1516099440605132</x:v>
      </x:c>
      <x:c r="S326" s="5" t="n">
        <x:f>ABS(Q326)</x:f>
        <x:v>7680.897413786348</x:v>
      </x:c>
      <x:c r="T326" s="6" t="n">
        <x:f>ABS(R326)</x:f>
        <x:v>1.1516099440605132</x:v>
      </x:c>
    </x:row>
    <x:row r="327">
      <x:c r="A327" s="4"/>
      <x:c r="B327" s="4" t="str">
        <x:v>Vallegrande</x:v>
      </x:c>
      <x:c r="C327" s="5" t="n">
        <x:v>17208</x:v>
      </x:c>
      <x:c r="D327" s="5" t="n">
        <x:v>17238.74085091194</x:v>
      </x:c>
      <x:c r="E327" s="5" t="n">
        <x:v>17249</x:v>
      </x:c>
      <x:c r="F327" s="5" t="n">
        <x:v>18418</x:v>
      </x:c>
      <x:c r="G327" s="5" t="n">
        <x:f>F327-$D327</x:f>
        <x:v>1179.2591490880586</x:v>
      </x:c>
      <x:c r="H327" s="6" t="n">
        <x:f>G327/$D327</x:f>
        <x:v>0.06840749909096029</x:v>
      </x:c>
      <x:c r="I327" s="5" t="n">
        <x:f>ABS(G327)</x:f>
        <x:v>1179.2591490880586</x:v>
      </x:c>
      <x:c r="J327" s="6" t="n">
        <x:f>ABS(H327)</x:f>
        <x:v>0.06840749909096029</x:v>
      </x:c>
      <x:c r="K327" s="5" t="n">
        <x:v>15610.145010353644</x:v>
      </x:c>
      <x:c r="L327" s="5" t="n">
        <x:f>K327-$D327</x:f>
        <x:v>-1628.595840558297</x:v>
      </x:c>
      <x:c r="M327" s="6" t="n">
        <x:f>L327/$D327</x:f>
        <x:v>-0.09447301601915682</x:v>
      </x:c>
      <x:c r="N327" s="5" t="n">
        <x:f>ABS(L327)</x:f>
        <x:v>1628.595840558297</x:v>
      </x:c>
      <x:c r="O327" s="6" t="n">
        <x:f>ABS(M327)</x:f>
        <x:v>0.09447301601915682</x:v>
      </x:c>
      <x:c r="P327" s="5" t="n">
        <x:v>14686.935585351748</x:v>
      </x:c>
      <x:c r="Q327" s="5" t="n">
        <x:f>P327-$D327</x:f>
        <x:v>-2551.805265560193</x:v>
      </x:c>
      <x:c r="R327" s="6" t="n">
        <x:f>Q327/$D327</x:f>
        <x:v>-0.14802735812489465</x:v>
      </x:c>
      <x:c r="S327" s="5" t="n">
        <x:f>ABS(Q327)</x:f>
        <x:v>2551.805265560193</x:v>
      </x:c>
      <x:c r="T327" s="6" t="n">
        <x:f>ABS(R327)</x:f>
        <x:v>0.14802735812489465</x:v>
      </x:c>
    </x:row>
    <x:row r="328">
      <x:c r="A328" s="4"/>
      <x:c r="B328" s="4" t="str">
        <x:v>Warnes</x:v>
      </x:c>
      <x:c r="C328" s="5" t="n">
        <x:v>96406</x:v>
      </x:c>
      <x:c r="D328" s="5" t="n">
        <x:v>135142.90381466565</x:v>
      </x:c>
      <x:c r="E328" s="5" t="n">
        <x:v>151248</x:v>
      </x:c>
      <x:c r="F328" s="5" t="n">
        <x:v>139297</x:v>
      </x:c>
      <x:c r="G328" s="5" t="n">
        <x:f>F328-$D328</x:f>
        <x:v>4154.096185334347</x:v>
      </x:c>
      <x:c r="H328" s="6" t="n">
        <x:f>G328/$D328</x:f>
        <x:v>0.0307385446669938</x:v>
      </x:c>
      <x:c r="I328" s="5" t="n">
        <x:f>ABS(G328)</x:f>
        <x:v>4154.096185334347</x:v>
      </x:c>
      <x:c r="J328" s="6" t="n">
        <x:f>ABS(H328)</x:f>
        <x:v>0.0307385446669938</x:v>
      </x:c>
      <x:c r="K328" s="5" t="n">
        <x:v>91844.03345089503</x:v>
      </x:c>
      <x:c r="L328" s="5" t="n">
        <x:f>K328-$D328</x:f>
        <x:v>-43298.87036377062</x:v>
      </x:c>
      <x:c r="M328" s="6" t="n">
        <x:f>L328/$D328</x:f>
        <x:v>-0.32039322185314656</x:v>
      </x:c>
      <x:c r="N328" s="5" t="n">
        <x:f>ABS(L328)</x:f>
        <x:v>43298.87036377062</x:v>
      </x:c>
      <x:c r="O328" s="6" t="n">
        <x:f>ABS(M328)</x:f>
        <x:v>0.32039322185314656</x:v>
      </x:c>
      <x:c r="P328" s="5" t="n">
        <x:v>123442.41937067552</x:v>
      </x:c>
      <x:c r="Q328" s="5" t="n">
        <x:f>P328-$D328</x:f>
        <x:v>-11700.484443990135</x:v>
      </x:c>
      <x:c r="R328" s="6" t="n">
        <x:f>Q328/$D328</x:f>
        <x:v>-0.08657860763474584</x:v>
      </x:c>
      <x:c r="S328" s="5" t="n">
        <x:f>ABS(Q328)</x:f>
        <x:v>11700.484443990135</x:v>
      </x:c>
      <x:c r="T328" s="6" t="n">
        <x:f>ABS(R328)</x:f>
        <x:v>0.08657860763474584</x:v>
      </x:c>
    </x:row>
    <x:row r="329">
      <x:c r="A329" s="4"/>
      <x:c r="B329" s="4" t="str">
        <x:v>Yapacaní</x:v>
      </x:c>
      <x:c r="C329" s="5" t="n">
        <x:v>50558</x:v>
      </x:c>
      <x:c r="D329" s="5" t="n">
        <x:v>55893.27233167696</x:v>
      </x:c>
      <x:c r="E329" s="5" t="n">
        <x:v>57794</x:v>
      </x:c>
      <x:c r="F329" s="5" t="n">
        <x:v>60091</x:v>
      </x:c>
      <x:c r="G329" s="5" t="n">
        <x:f>F329-$D329</x:f>
        <x:v>4197.7276683230375</x:v>
      </x:c>
      <x:c r="H329" s="6" t="n">
        <x:f>G329/$D329</x:f>
        <x:v>0.075102556948415</x:v>
      </x:c>
      <x:c r="I329" s="5" t="n">
        <x:f>ABS(G329)</x:f>
        <x:v>4197.7276683230375</x:v>
      </x:c>
      <x:c r="J329" s="6" t="n">
        <x:f>ABS(H329)</x:f>
        <x:v>0.075102556948415</x:v>
      </x:c>
      <x:c r="K329" s="5" t="n">
        <x:v>55528.99429744534</x:v>
      </x:c>
      <x:c r="L329" s="5" t="n">
        <x:f>K329-$D329</x:f>
        <x:v>-364.2780342316255</x:v>
      </x:c>
      <x:c r="M329" s="6" t="n">
        <x:f>L329/$D329</x:f>
        <x:v>-0.006517386065177195</x:v>
      </x:c>
      <x:c r="N329" s="5" t="n">
        <x:f>ABS(L329)</x:f>
        <x:v>364.2780342316255</x:v>
      </x:c>
      <x:c r="O329" s="6" t="n">
        <x:f>ABS(M329)</x:f>
        <x:v>0.006517386065177195</x:v>
      </x:c>
      <x:c r="P329" s="5" t="n">
        <x:v>53385.684082191015</x:v>
      </x:c>
      <x:c r="Q329" s="5" t="n">
        <x:f>P329-$D329</x:f>
        <x:v>-2507.588249485947</x:v>
      </x:c>
      <x:c r="R329" s="6" t="n">
        <x:f>Q329/$D329</x:f>
        <x:v>-0.044863865450668845</x:v>
      </x:c>
      <x:c r="S329" s="5" t="n">
        <x:f>ABS(Q329)</x:f>
        <x:v>2507.588249485947</x:v>
      </x:c>
      <x:c r="T329" s="6" t="n">
        <x:f>ABS(R329)</x:f>
        <x:v>0.044863865450668845</x:v>
      </x:c>
    </x:row>
    <x:row r="330">
      <x:c r="A330" s="4"/>
      <x:c r="B330" s="4" t="str">
        <x:v>Bermejo</x:v>
      </x:c>
      <x:c r="C330" s="5" t="n">
        <x:v>34505</x:v>
      </x:c>
      <x:c r="D330" s="5" t="n">
        <x:v>36337.71345053771</x:v>
      </x:c>
      <x:c r="E330" s="5" t="n">
        <x:v>36970</x:v>
      </x:c>
      <x:c r="F330" s="5" t="n">
        <x:v>43269</x:v>
      </x:c>
      <x:c r="G330" s="5" t="n">
        <x:f>F330-$D330</x:f>
        <x:v>6931.286549462289</x:v>
      </x:c>
      <x:c r="H330" s="6" t="n">
        <x:f>G330/$D330</x:f>
        <x:v>0.19074635939592183</x:v>
      </x:c>
      <x:c r="I330" s="5" t="n">
        <x:f>ABS(G330)</x:f>
        <x:v>6931.286549462289</x:v>
      </x:c>
      <x:c r="J330" s="6" t="n">
        <x:f>ABS(H330)</x:f>
        <x:v>0.19074635939592183</x:v>
      </x:c>
      <x:c r="K330" s="5" t="n">
        <x:v>36416.775239177216</x:v>
      </x:c>
      <x:c r="L330" s="5" t="n">
        <x:f>K330-$D330</x:f>
        <x:v>79.06178863950481</x:v>
      </x:c>
      <x:c r="M330" s="6" t="n">
        <x:f>L330/$D330</x:f>
        <x:v>0.0021757502366548847</x:v>
      </x:c>
      <x:c r="N330" s="5" t="n">
        <x:f>ABS(L330)</x:f>
        <x:v>79.06178863950481</x:v>
      </x:c>
      <x:c r="O330" s="6" t="n">
        <x:f>ABS(M330)</x:f>
        <x:v>0.0021757502366548847</x:v>
      </x:c>
      <x:c r="P330" s="5" t="n">
        <x:v>38405.28491871338</x:v>
      </x:c>
      <x:c r="Q330" s="5" t="n">
        <x:f>P330-$D330</x:f>
        <x:v>2067.5714681756726</x:v>
      </x:c>
      <x:c r="R330" s="6" t="n">
        <x:f>Q330/$D330</x:f>
        <x:v>0.05689877738152172</x:v>
      </x:c>
      <x:c r="S330" s="5" t="n">
        <x:f>ABS(Q330)</x:f>
        <x:v>2067.5714681756726</x:v>
      </x:c>
      <x:c r="T330" s="6" t="n">
        <x:f>ABS(R330)</x:f>
        <x:v>0.05689877738152172</x:v>
      </x:c>
    </x:row>
    <x:row r="331">
      <x:c r="A331" s="4"/>
      <x:c r="B331" s="4" t="str">
        <x:v>Caraparí</x:v>
      </x:c>
      <x:c r="C331" s="5" t="n">
        <x:v>15366</x:v>
      </x:c>
      <x:c r="D331" s="5" t="n">
        <x:v>15510.523919937157</x:v>
      </x:c>
      <x:c r="E331" s="5" t="n">
        <x:v>15559</x:v>
      </x:c>
      <x:c r="F331" s="5" t="n">
        <x:v>16367</x:v>
      </x:c>
      <x:c r="G331" s="5" t="n">
        <x:f>F331-$D331</x:f>
        <x:v>856.4760800628428</x:v>
      </x:c>
      <x:c r="H331" s="6" t="n">
        <x:f>G331/$D331</x:f>
        <x:v>0.05521902963973592</x:v>
      </x:c>
      <x:c r="I331" s="5" t="n">
        <x:f>ABS(G331)</x:f>
        <x:v>856.4760800628428</x:v>
      </x:c>
      <x:c r="J331" s="6" t="n">
        <x:f>ABS(H331)</x:f>
        <x:v>0.05521902963973592</x:v>
      </x:c>
      <x:c r="K331" s="5" t="n">
        <x:v>5463.413785072558</x:v>
      </x:c>
      <x:c r="L331" s="5" t="n">
        <x:f>K331-$D331</x:f>
        <x:v>-10047.110134864599</x:v>
      </x:c>
      <x:c r="M331" s="6" t="n">
        <x:f>L331/$D331</x:f>
        <x:v>-0.6477608484875285</x:v>
      </x:c>
      <x:c r="N331" s="5" t="n">
        <x:f>ABS(L331)</x:f>
        <x:v>10047.110134864599</x:v>
      </x:c>
      <x:c r="O331" s="6" t="n">
        <x:f>ABS(M331)</x:f>
        <x:v>0.6477608484875285</x:v>
      </x:c>
      <x:c r="P331" s="5" t="n">
        <x:v>16919.753724958355</x:v>
      </x:c>
      <x:c r="Q331" s="5" t="n">
        <x:f>P331-$D331</x:f>
        <x:v>1409.2298050211975</x:v>
      </x:c>
      <x:c r="R331" s="6" t="n">
        <x:f>Q331/$D331</x:f>
        <x:v>0.09085636386594137</x:v>
      </x:c>
      <x:c r="S331" s="5" t="n">
        <x:f>ABS(Q331)</x:f>
        <x:v>1409.2298050211975</x:v>
      </x:c>
      <x:c r="T331" s="6" t="n">
        <x:f>ABS(R331)</x:f>
        <x:v>0.09085636386594137</x:v>
      </x:c>
    </x:row>
    <x:row r="332">
      <x:c r="A332" s="4"/>
      <x:c r="B332" s="4" t="str">
        <x:v>El Puente</x:v>
      </x:c>
      <x:c r="C332" s="5" t="n">
        <x:v>11354</x:v>
      </x:c>
      <x:c r="D332" s="5" t="n">
        <x:v>9951.019120497083</x:v>
      </x:c>
      <x:c r="E332" s="5" t="n">
        <x:v>9523</x:v>
      </x:c>
      <x:c r="F332" s="5" t="n">
        <x:v>11774</x:v>
      </x:c>
      <x:c r="G332" s="5" t="n">
        <x:f>F332-$D332</x:f>
        <x:v>1822.9808795029167</x:v>
      </x:c>
      <x:c r="H332" s="6" t="n">
        <x:f>G332/$D332</x:f>
        <x:v>0.1831953951076172</x:v>
      </x:c>
      <x:c r="I332" s="5" t="n">
        <x:f>ABS(G332)</x:f>
        <x:v>1822.9808795029167</x:v>
      </x:c>
      <x:c r="J332" s="6" t="n">
        <x:f>ABS(H332)</x:f>
        <x:v>0.1831953951076172</x:v>
      </x:c>
      <x:c r="K332" s="5" t="n">
        <x:v>15523.939885772144</x:v>
      </x:c>
      <x:c r="L332" s="5" t="n">
        <x:f>K332-$D332</x:f>
        <x:v>5572.920765275061</x:v>
      </x:c>
      <x:c r="M332" s="6" t="n">
        <x:f>L332/$D332</x:f>
        <x:v>0.5600351780850238</x:v>
      </x:c>
      <x:c r="N332" s="5" t="n">
        <x:f>ABS(L332)</x:f>
        <x:v>5572.920765275061</x:v>
      </x:c>
      <x:c r="O332" s="6" t="n">
        <x:f>ABS(M332)</x:f>
        <x:v>0.5600351780850238</x:v>
      </x:c>
      <x:c r="P332" s="5" t="n">
        <x:v>13005.720365607354</x:v>
      </x:c>
      <x:c r="Q332" s="5" t="n">
        <x:f>P332-$D332</x:f>
        <x:v>3054.701245110271</x:v>
      </x:c>
      <x:c r="R332" s="6" t="n">
        <x:f>Q332/$D332</x:f>
        <x:v>0.30697370873483754</x:v>
      </x:c>
      <x:c r="S332" s="5" t="n">
        <x:f>ABS(Q332)</x:f>
        <x:v>3054.701245110271</x:v>
      </x:c>
      <x:c r="T332" s="6" t="n">
        <x:f>ABS(R332)</x:f>
        <x:v>0.30697370873483754</x:v>
      </x:c>
    </x:row>
    <x:row r="333">
      <x:c r="A333" s="4"/>
      <x:c r="B333" s="4" t="str">
        <x:v>Entre Ríos</x:v>
      </x:c>
      <x:c r="C333" s="5" t="n">
        <x:v>21991</x:v>
      </x:c>
      <x:c r="D333" s="5" t="n">
        <x:v>21140.216232721956</x:v>
      </x:c>
      <x:c r="E333" s="5" t="n">
        <x:v>20864</x:v>
      </x:c>
      <x:c r="F333" s="5" t="n">
        <x:v>23741</x:v>
      </x:c>
      <x:c r="G333" s="5" t="n">
        <x:f>F333-$D333</x:f>
        <x:v>2600.7837672780443</x:v>
      </x:c>
      <x:c r="H333" s="6" t="n">
        <x:f>G333/$D333</x:f>
        <x:v>0.12302540989398264</x:v>
      </x:c>
      <x:c r="I333" s="5" t="n">
        <x:f>ABS(G333)</x:f>
        <x:v>2600.7837672780443</x:v>
      </x:c>
      <x:c r="J333" s="6" t="n">
        <x:f>ABS(H333)</x:f>
        <x:v>0.12302540989398264</x:v>
      </x:c>
      <x:c r="K333" s="5" t="n">
        <x:v>24899.34711788497</x:v>
      </x:c>
      <x:c r="L333" s="5" t="n">
        <x:f>K333-$D333</x:f>
        <x:v>3759.130885163013</x:v>
      </x:c>
      <x:c r="M333" s="6" t="n">
        <x:f>L333/$D333</x:f>
        <x:v>0.17781894204773693</x:v>
      </x:c>
      <x:c r="N333" s="5" t="n">
        <x:f>ABS(L333)</x:f>
        <x:v>3759.130885163013</x:v>
      </x:c>
      <x:c r="O333" s="6" t="n">
        <x:f>ABS(M333)</x:f>
        <x:v>0.17781894204773693</x:v>
      </x:c>
      <x:c r="P333" s="5" t="n">
        <x:v>25993.661720139804</x:v>
      </x:c>
      <x:c r="Q333" s="5" t="n">
        <x:f>P333-$D333</x:f>
        <x:v>4853.445487417848</x:v>
      </x:c>
      <x:c r="R333" s="6" t="n">
        <x:f>Q333/$D333</x:f>
        <x:v>0.22958353093406045</x:v>
      </x:c>
      <x:c r="S333" s="5" t="n">
        <x:f>ABS(Q333)</x:f>
        <x:v>4853.445487417848</x:v>
      </x:c>
      <x:c r="T333" s="6" t="n">
        <x:f>ABS(R333)</x:f>
        <x:v>0.22958353093406045</x:v>
      </x:c>
    </x:row>
    <x:row r="334">
      <x:c r="A334" s="4"/>
      <x:c r="B334" s="4" t="str">
        <x:v>Padcaya</x:v>
      </x:c>
      <x:c r="C334" s="5" t="n">
        <x:v>18681</x:v>
      </x:c>
      <x:c r="D334" s="5" t="n">
        <x:v>18029.179603194927</x:v>
      </x:c>
      <x:c r="E334" s="5" t="n">
        <x:v>17817</x:v>
      </x:c>
      <x:c r="F334" s="5" t="n">
        <x:v>19040</x:v>
      </x:c>
      <x:c r="G334" s="5" t="n">
        <x:f>F334-$D334</x:f>
        <x:v>1010.820396805073</x:v>
      </x:c>
      <x:c r="H334" s="6" t="n">
        <x:f>G334/$D334</x:f>
        <x:v>0.0560658010543057</x:v>
      </x:c>
      <x:c r="I334" s="5" t="n">
        <x:f>ABS(G334)</x:f>
        <x:v>1010.820396805073</x:v>
      </x:c>
      <x:c r="J334" s="6" t="n">
        <x:f>ABS(H334)</x:f>
        <x:v>0.0560658010543057</x:v>
      </x:c>
      <x:c r="K334" s="5" t="n">
        <x:v>21064.155134711207</x:v>
      </x:c>
      <x:c r="L334" s="5" t="n">
        <x:f>K334-$D334</x:f>
        <x:v>3034.97553151628</x:v>
      </x:c>
      <x:c r="M334" s="6" t="n">
        <x:f>L334/$D334</x:f>
        <x:v>0.1683368627033066</x:v>
      </x:c>
      <x:c r="N334" s="5" t="n">
        <x:f>ABS(L334)</x:f>
        <x:v>3034.97553151628</x:v>
      </x:c>
      <x:c r="O334" s="6" t="n">
        <x:f>ABS(M334)</x:f>
        <x:v>0.1683368627033066</x:v>
      </x:c>
      <x:c r="P334" s="5" t="n">
        <x:v>20734.1130362939</x:v>
      </x:c>
      <x:c r="Q334" s="5" t="n">
        <x:f>P334-$D334</x:f>
        <x:v>2704.933433098973</x:v>
      </x:c>
      <x:c r="R334" s="6" t="n">
        <x:f>Q334/$D334</x:f>
        <x:v>0.15003086621976053</x:v>
      </x:c>
      <x:c r="S334" s="5" t="n">
        <x:f>ABS(Q334)</x:f>
        <x:v>2704.933433098973</x:v>
      </x:c>
      <x:c r="T334" s="6" t="n">
        <x:f>ABS(R334)</x:f>
        <x:v>0.15003086621976053</x:v>
      </x:c>
    </x:row>
    <x:row r="335">
      <x:c r="A335" s="4"/>
      <x:c r="B335" s="4" t="str">
        <x:v>San Lorenzo</x:v>
      </x:c>
      <x:c r="C335" s="5" t="n">
        <x:v>23863</x:v>
      </x:c>
      <x:c r="D335" s="5" t="n">
        <x:v>28576.389084491053</x:v>
      </x:c>
      <x:c r="E335" s="5" t="n">
        <x:v>30346</x:v>
      </x:c>
      <x:c r="F335" s="5" t="n">
        <x:v>25504</x:v>
      </x:c>
      <x:c r="G335" s="5" t="n">
        <x:f>F335-$D335</x:f>
        <x:v>-3072.389084491053</x:v>
      </x:c>
      <x:c r="H335" s="6" t="n">
        <x:f>G335/$D335</x:f>
        <x:v>-0.10751495143095237</x:v>
      </x:c>
      <x:c r="I335" s="5" t="n">
        <x:f>ABS(G335)</x:f>
        <x:v>3072.389084491053</x:v>
      </x:c>
      <x:c r="J335" s="6" t="n">
        <x:f>ABS(H335)</x:f>
        <x:v>0.10751495143095237</x:v>
      </x:c>
      <x:c r="K335" s="5" t="n">
        <x:v>20477.85944314854</x:v>
      </x:c>
      <x:c r="L335" s="5" t="n">
        <x:f>K335-$D335</x:f>
        <x:v>-8098.529641342513</x:v>
      </x:c>
      <x:c r="M335" s="6" t="n">
        <x:f>L335/$D335</x:f>
        <x:v>-0.2833993342335102</x:v>
      </x:c>
      <x:c r="N335" s="5" t="n">
        <x:f>ABS(L335)</x:f>
        <x:v>8098.529641342513</x:v>
      </x:c>
      <x:c r="O335" s="6" t="n">
        <x:f>ABS(M335)</x:f>
        <x:v>0.2833993342335102</x:v>
      </x:c>
      <x:c r="P335" s="5" t="n">
        <x:v>27470.589301733235</x:v>
      </x:c>
      <x:c r="Q335" s="5" t="n">
        <x:f>P335-$D335</x:f>
        <x:v>-1105.7997827578183</x:v>
      </x:c>
      <x:c r="R335" s="6" t="n">
        <x:f>Q335/$D335</x:f>
        <x:v>-0.03869627402847607</x:v>
      </x:c>
      <x:c r="S335" s="5" t="n">
        <x:f>ABS(Q335)</x:f>
        <x:v>1105.7997827578183</x:v>
      </x:c>
      <x:c r="T335" s="6" t="n">
        <x:f>ABS(R335)</x:f>
        <x:v>0.03869627402847607</x:v>
      </x:c>
    </x:row>
    <x:row r="336">
      <x:c r="A336" s="4"/>
      <x:c r="B336" s="4" t="str">
        <x:v>Tarija</x:v>
      </x:c>
      <x:c r="C336" s="5" t="n">
        <x:v>205375</x:v>
      </x:c>
      <x:c r="D336" s="5" t="n">
        <x:v>229928.6370866624</x:v>
      </x:c>
      <x:c r="E336" s="5" t="n">
        <x:v>238749</x:v>
      </x:c>
      <x:c r="F336" s="5" t="n">
        <x:v>267378</x:v>
      </x:c>
      <x:c r="G336" s="5" t="n">
        <x:f>F336-$D336</x:f>
        <x:v>37449.362913337594</x:v>
      </x:c>
      <x:c r="H336" s="6" t="n">
        <x:f>G336/$D336</x:f>
        <x:v>0.16287385246067698</x:v>
      </x:c>
      <x:c r="I336" s="5" t="n">
        <x:f>ABS(G336)</x:f>
        <x:v>37449.362913337594</x:v>
      </x:c>
      <x:c r="J336" s="6" t="n">
        <x:f>ABS(H336)</x:f>
        <x:v>0.16287385246067698</x:v>
      </x:c>
      <x:c r="K336" s="5" t="n">
        <x:v>257498.1940327068</x:v>
      </x:c>
      <x:c r="L336" s="5" t="n">
        <x:f>K336-$D336</x:f>
        <x:v>27569.55694604438</x:v>
      </x:c>
      <x:c r="M336" s="6" t="n">
        <x:f>L336/$D336</x:f>
        <x:v>0.1199048421952466</x:v>
      </x:c>
      <x:c r="N336" s="5" t="n">
        <x:f>ABS(L336)</x:f>
        <x:v>27569.55694604438</x:v>
      </x:c>
      <x:c r="O336" s="6" t="n">
        <x:f>ABS(M336)</x:f>
        <x:v>0.1199048421952466</x:v>
      </x:c>
      <x:c r="P336" s="5" t="n">
        <x:v>225689.8192390361</x:v>
      </x:c>
      <x:c r="Q336" s="5" t="n">
        <x:f>P336-$D336</x:f>
        <x:v>-4238.817847626313</x:v>
      </x:c>
      <x:c r="R336" s="6" t="n">
        <x:f>Q336/$D336</x:f>
        <x:v>-0.018435362820981103</x:v>
      </x:c>
      <x:c r="S336" s="5" t="n">
        <x:f>ABS(Q336)</x:f>
        <x:v>4238.817847626313</x:v>
      </x:c>
      <x:c r="T336" s="6" t="n">
        <x:f>ABS(R336)</x:f>
        <x:v>0.018435362820981103</x:v>
      </x:c>
    </x:row>
    <x:row r="337">
      <x:c r="A337" s="4"/>
      <x:c r="B337" s="4" t="str">
        <x:v>Uriondo</x:v>
      </x:c>
      <x:c r="C337" s="5" t="n">
        <x:v>14781</x:v>
      </x:c>
      <x:c r="D337" s="5" t="n">
        <x:v>15629.483472668588</x:v>
      </x:c>
      <x:c r="E337" s="5" t="n">
        <x:v>15923</x:v>
      </x:c>
      <x:c r="F337" s="5" t="n">
        <x:v>16127</x:v>
      </x:c>
      <x:c r="G337" s="5" t="n">
        <x:f>F337-$D337</x:f>
        <x:v>497.51652733141236</x:v>
      </x:c>
      <x:c r="H337" s="6" t="n">
        <x:f>G337/$D337</x:f>
        <x:v>0.03183192382534098</x:v>
      </x:c>
      <x:c r="I337" s="5" t="n">
        <x:f>ABS(G337)</x:f>
        <x:v>497.51652733141236</x:v>
      </x:c>
      <x:c r="J337" s="6" t="n">
        <x:f>ABS(H337)</x:f>
        <x:v>0.03183192382534098</x:v>
      </x:c>
      <x:c r="K337" s="5" t="n">
        <x:v>19668.273410058297</x:v>
      </x:c>
      <x:c r="L337" s="5" t="n">
        <x:f>K337-$D337</x:f>
        <x:v>4038.789937389709</x:v>
      </x:c>
      <x:c r="M337" s="6" t="n">
        <x:f>L337/$D337</x:f>
        <x:v>0.25840840770281215</x:v>
      </x:c>
      <x:c r="N337" s="5" t="n">
        <x:f>ABS(L337)</x:f>
        <x:v>4038.789937389709</x:v>
      </x:c>
      <x:c r="O337" s="6" t="n">
        <x:f>ABS(M337)</x:f>
        <x:v>0.25840840770281215</x:v>
      </x:c>
      <x:c r="P337" s="5" t="n">
        <x:v>16729.259282441235</x:v>
      </x:c>
      <x:c r="Q337" s="5" t="n">
        <x:f>P337-$D337</x:f>
        <x:v>1099.7758097726473</x:v>
      </x:c>
      <x:c r="R337" s="6" t="n">
        <x:f>Q337/$D337</x:f>
        <x:v>0.07036546100169176</x:v>
      </x:c>
      <x:c r="S337" s="5" t="n">
        <x:f>ABS(Q337)</x:f>
        <x:v>1099.7758097726473</x:v>
      </x:c>
      <x:c r="T337" s="6" t="n">
        <x:f>ABS(R337)</x:f>
        <x:v>0.07036546100169176</x:v>
      </x:c>
    </x:row>
    <x:row r="338">
      <x:c r="A338" s="4"/>
      <x:c r="B338" s="4" t="str">
        <x:v>Villa Montes</x:v>
      </x:c>
      <x:c r="C338" s="5" t="n">
        <x:v>39867</x:v>
      </x:c>
      <x:c r="D338" s="5" t="n">
        <x:v>44434.89090877323</x:v>
      </x:c>
      <x:c r="E338" s="5" t="n">
        <x:v>46071</x:v>
      </x:c>
      <x:c r="F338" s="5" t="n">
        <x:v>54314</x:v>
      </x:c>
      <x:c r="G338" s="5" t="n">
        <x:f>F338-$D338</x:f>
        <x:v>9879.109091226768</x:v>
      </x:c>
      <x:c r="H338" s="6" t="n">
        <x:f>G338/$D338</x:f>
        <x:v>0.22232774491354124</x:v>
      </x:c>
      <x:c r="I338" s="5" t="n">
        <x:f>ABS(G338)</x:f>
        <x:v>9879.109091226768</x:v>
      </x:c>
      <x:c r="J338" s="6" t="n">
        <x:f>ABS(H338)</x:f>
        <x:v>0.22232774491354124</x:v>
      </x:c>
      <x:c r="K338" s="5" t="n">
        <x:v>72263.35343899866</x:v>
      </x:c>
      <x:c r="L338" s="5" t="n">
        <x:f>K338-$D338</x:f>
        <x:v>27828.462530225428</x:v>
      </x:c>
      <x:c r="M338" s="6" t="n">
        <x:f>L338/$D338</x:f>
        <x:v>0.6262750275984356</x:v>
      </x:c>
      <x:c r="N338" s="5" t="n">
        <x:f>ABS(L338)</x:f>
        <x:v>27828.462530225428</x:v>
      </x:c>
      <x:c r="O338" s="6" t="n">
        <x:f>ABS(M338)</x:f>
        <x:v>0.6262750275984356</x:v>
      </x:c>
      <x:c r="P338" s="5" t="n">
        <x:v>42670.49289649791</x:v>
      </x:c>
      <x:c r="Q338" s="5" t="n">
        <x:f>P338-$D338</x:f>
        <x:v>-1764.39801227532</x:v>
      </x:c>
      <x:c r="R338" s="6" t="n">
        <x:f>Q338/$D338</x:f>
        <x:v>-0.03970749058206773</x:v>
      </x:c>
      <x:c r="S338" s="5" t="n">
        <x:f>ABS(Q338)</x:f>
        <x:v>1764.39801227532</x:v>
      </x:c>
      <x:c r="T338" s="6" t="n">
        <x:f>ABS(R338)</x:f>
        <x:v>0.03970749058206773</x:v>
      </x:c>
    </x:row>
    <x:row r="339">
      <x:c r="A339" s="4"/>
      <x:c r="B339" s="4" t="str">
        <x:v>Yacuiba</x:v>
      </x:c>
      <x:c r="C339" s="5" t="n">
        <x:v>92245</x:v>
      </x:c>
      <x:c r="D339" s="5" t="n">
        <x:v>96257.93056806241</x:v>
      </x:c>
      <x:c r="E339" s="5" t="n">
        <x:v>97634</x:v>
      </x:c>
      <x:c r="F339" s="5" t="n">
        <x:v>108578</x:v>
      </x:c>
      <x:c r="G339" s="5" t="n">
        <x:f>F339-$D339</x:f>
        <x:v>12320.06943193759</x:v>
      </x:c>
      <x:c r="H339" s="6" t="n">
        <x:f>G339/$D339</x:f>
        <x:v>0.12799017555469128</x:v>
      </x:c>
      <x:c r="I339" s="5" t="n">
        <x:f>ABS(G339)</x:f>
        <x:v>12320.06943193759</x:v>
      </x:c>
      <x:c r="J339" s="6" t="n">
        <x:f>ABS(H339)</x:f>
        <x:v>0.12799017555469128</x:v>
      </x:c>
      <x:c r="K339" s="5" t="n">
        <x:v>97264.72267270045</x:v>
      </x:c>
      <x:c r="L339" s="5" t="n">
        <x:f>K339-$D339</x:f>
        <x:v>1006.7921046380361</x:v>
      </x:c>
      <x:c r="M339" s="6" t="n">
        <x:f>L339/$D339</x:f>
        <x:v>0.010459315909831969</x:v>
      </x:c>
      <x:c r="N339" s="5" t="n">
        <x:f>ABS(L339)</x:f>
        <x:v>1006.7921046380361</x:v>
      </x:c>
      <x:c r="O339" s="6" t="n">
        <x:f>ABS(M339)</x:f>
        <x:v>0.010459315909831969</x:v>
      </x:c>
      <x:c r="P339" s="5" t="n">
        <x:v>102279.29890816596</x:v>
      </x:c>
      <x:c r="Q339" s="5" t="n">
        <x:f>P339-$D339</x:f>
        <x:v>6021.368340103552</x:v>
      </x:c>
      <x:c r="R339" s="6" t="n">
        <x:f>Q339/$D339</x:f>
        <x:v>0.06255451685454573</x:v>
      </x:c>
      <x:c r="S339" s="5" t="n">
        <x:f>ABS(Q339)</x:f>
        <x:v>6021.368340103552</x:v>
      </x:c>
      <x:c r="T339" s="6" t="n">
        <x:f>ABS(R339)</x:f>
        <x:v>0.06255451685454573</x:v>
      </x:c>
    </x:row>
    <x:row r="340">
      <x:c r="A340" s="4"/>
      <x:c r="B340" s="4" t="str">
        <x:v>Yunchará</x:v>
      </x:c>
      <x:c r="C340" s="5" t="n">
        <x:v>5490</x:v>
      </x:c>
      <x:c r="D340" s="5" t="n">
        <x:v>4928.190295203863</x:v>
      </x:c>
      <x:c r="E340" s="5" t="n">
        <x:v>4754</x:v>
      </x:c>
      <x:c r="F340" s="5" t="n">
        <x:v>5736</x:v>
      </x:c>
      <x:c r="G340" s="5" t="n">
        <x:f>F340-$D340</x:f>
        <x:v>807.8097047961373</x:v>
      </x:c>
      <x:c r="H340" s="6" t="n">
        <x:f>G340/$D340</x:f>
        <x:v>0.16391609422677964</x:v>
      </x:c>
      <x:c r="I340" s="5" t="n">
        <x:f>ABS(G340)</x:f>
        <x:v>807.8097047961373</x:v>
      </x:c>
      <x:c r="J340" s="6" t="n">
        <x:f>ABS(H340)</x:f>
        <x:v>0.16391609422677964</x:v>
      </x:c>
      <x:c r="K340" s="5" t="n">
        <x:v>11297.560957963746</x:v>
      </x:c>
      <x:c r="L340" s="5" t="n">
        <x:f>K340-$D340</x:f>
        <x:v>6369.370662759883</x:v>
      </x:c>
      <x:c r="M340" s="6" t="n">
        <x:f>L340/$D340</x:f>
        <x:v>1.2924360223992535</x:v>
      </x:c>
      <x:c r="N340" s="5" t="n">
        <x:f>ABS(L340)</x:f>
        <x:v>6369.370662759883</x:v>
      </x:c>
      <x:c r="O340" s="6" t="n">
        <x:f>ABS(M340)</x:f>
        <x:v>1.2924360223992535</x:v>
      </x:c>
      <x:c r="P340" s="5" t="n">
        <x:v>6441.473208751966</x:v>
      </x:c>
      <x:c r="Q340" s="5" t="n">
        <x:f>P340-$D340</x:f>
        <x:v>1513.2829135481034</x:v>
      </x:c>
      <x:c r="R340" s="6" t="n">
        <x:f>Q340/$D340</x:f>
        <x:v>0.3070666558920903</x:v>
      </x:c>
      <x:c r="S340" s="5" t="n">
        <x:f>ABS(Q340)</x:f>
        <x:v>1513.2829135481034</x:v>
      </x:c>
      <x:c r="T340" s="6" t="n">
        <x:f>ABS(R340)</x:f>
        <x:v>0.3070666558920903</x:v>
      </x:c>
    </x:row>
  </x:sheetData>
  <x:pageMargins left="0.7" right="0.7" top="0.75" bottom="0.75" header="0.3" footer="0.3"/>
</x:worksheet>
</file>